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cz. nad Tomanową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SUM(C3:C9984)</f>
        <v/>
      </c>
      <c r="Q2" s="2">
        <f>ROUND(MIN(M2:M9984),1)</f>
        <v/>
      </c>
      <c r="R2" s="2">
        <f>ROUND(MAX(M2:M9984),1)</f>
        <v/>
      </c>
      <c r="S2" s="2">
        <f>ABS((R2)-(Q2))</f>
        <v/>
      </c>
      <c r="T2">
        <f>ROUND(ABS(MAX(K2:K9984)-MIN(K2:K9984)),1)</f>
        <v/>
      </c>
      <c r="U2">
        <f>ROUND(ABS(MAX(L2:L9984)-MIN(L2:L9984)),1)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3.25</v>
      </c>
      <c r="D3" s="4" t="n">
        <v>84</v>
      </c>
      <c r="E3" s="4" t="n">
        <v>35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4.8</v>
      </c>
      <c r="D4" s="4" t="n">
        <v>145</v>
      </c>
      <c r="E4" s="4" t="n">
        <v>-20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n"/>
      <c r="B5" s="3" t="n"/>
      <c r="C5" s="1" t="n"/>
      <c r="D5" s="4" t="n"/>
      <c r="E5" s="4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2" t="n"/>
      <c r="Q5" s="4" t="n"/>
    </row>
    <row r="6">
      <c r="A6" s="3" t="n"/>
      <c r="B6" s="3" t="inlineStr">
        <is>
          <t>1</t>
        </is>
      </c>
      <c r="C6" s="1" t="n"/>
      <c r="D6" s="4" t="n"/>
      <c r="E6" s="4" t="n"/>
      <c r="F6" s="1" t="n"/>
      <c r="G6" s="1" t="n"/>
      <c r="H6" s="1" t="n"/>
      <c r="I6" s="1" t="n"/>
      <c r="J6" s="1" t="n"/>
      <c r="K6" s="1" t="n">
        <v>2.647660091963523</v>
      </c>
      <c r="L6" s="1" t="n">
        <v>0.2782802892092767</v>
      </c>
      <c r="M6" s="1" t="n">
        <v>1.8641234181409</v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1</t>
        </is>
      </c>
      <c r="B7" s="3" t="inlineStr">
        <is>
          <t>1.1</t>
        </is>
      </c>
      <c r="C7" s="1" t="n">
        <v>5.8</v>
      </c>
      <c r="D7" s="4" t="n">
        <v>0</v>
      </c>
      <c r="E7" s="4" t="n">
        <v>-90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n"/>
      <c r="B8" s="3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2" t="n"/>
    </row>
    <row r="9">
      <c r="A9" t="inlineStr">
        <is>
          <t>Nazwa: Szczelina nad Tomanową I</t>
        </is>
      </c>
      <c r="B9" s="3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</row>
    <row r="10">
      <c r="B10" s="3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2" t="n"/>
    </row>
    <row r="11">
      <c r="A11" t="inlineStr">
        <is>
          <t>Pomiary: Ja. Nowak; Jo. Nowak, 18. 10. 2008 r.</t>
        </is>
      </c>
      <c r="B11" s="3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</row>
    <row r="12">
      <c r="A12" t="inlineStr">
        <is>
          <t>Wysokość: ok. 2040 m npm</t>
        </is>
      </c>
      <c r="B12" s="3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</row>
    <row r="13">
      <c r="A13" t="inlineStr">
        <is>
          <t>Wysokość nad dnem doliny: ok. 500 m</t>
        </is>
      </c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s="3" t="n"/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s="3" t="n"/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s="3" t="n"/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s="3" t="n"/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