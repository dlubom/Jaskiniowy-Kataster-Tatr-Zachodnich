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cz. nad Tomanową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SUM(C3:C9983)</f>
        <v/>
      </c>
      <c r="Q2" s="2">
        <f>ROUND(MIN(M2:M9983),1)</f>
        <v/>
      </c>
      <c r="R2" s="2">
        <f>ROUND(MAX(M2:M9983),1)</f>
        <v/>
      </c>
      <c r="S2" s="2">
        <f>ABS((R2)-(Q2))</f>
        <v/>
      </c>
      <c r="T2">
        <f>ROUND(ABS(MAX(K2:K9983)-MIN(K2:K9983)),1)</f>
        <v/>
      </c>
      <c r="U2">
        <f>ROUND(ABS(MAX(L2:L9983)-MIN(L2:L9983)),1)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3.9</v>
      </c>
      <c r="D3" s="4" t="n">
        <v>118</v>
      </c>
      <c r="E3" s="4" t="n">
        <v>-40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2.7</v>
      </c>
      <c r="D4" s="4" t="n">
        <v>115</v>
      </c>
      <c r="E4" s="4" t="n">
        <v>-70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3</v>
      </c>
      <c r="D5" s="4" t="n">
        <v>102</v>
      </c>
      <c r="E5" s="4" t="n">
        <v>-10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2.5</v>
      </c>
      <c r="D6" s="4" t="n">
        <v>115</v>
      </c>
      <c r="E6" s="4" t="n">
        <v>0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n"/>
      <c r="B7" s="3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2" t="n"/>
    </row>
    <row r="8">
      <c r="A8" t="inlineStr">
        <is>
          <t>Nazwa: Szczelina nad Tomanową II</t>
        </is>
      </c>
      <c r="B8" s="3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2" t="n"/>
    </row>
    <row r="9">
      <c r="B9" s="3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</row>
    <row r="10">
      <c r="A10" t="inlineStr">
        <is>
          <t>Pomiary: Ja. Nowak, 18. 10. 2008 r.</t>
        </is>
      </c>
      <c r="B10" s="3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2" t="n"/>
    </row>
    <row r="11">
      <c r="A11" t="inlineStr">
        <is>
          <t>Wysokość: ok. 2020 m npm</t>
        </is>
      </c>
      <c r="B11" s="3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</row>
    <row r="12">
      <c r="A12" t="inlineStr">
        <is>
          <t>Wysokość nad dnem doliny: ok. 480 m</t>
        </is>
      </c>
      <c r="B12" s="3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</row>
    <row r="13">
      <c r="A13" s="3" t="n"/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s="3" t="n"/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s="3" t="n"/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s="3" t="n"/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s="3" t="n"/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