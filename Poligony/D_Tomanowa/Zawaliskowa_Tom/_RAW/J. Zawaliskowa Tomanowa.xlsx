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. Zawaliskowa Tomano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SUM(C3:C9989)</f>
        <v/>
      </c>
      <c r="Q2" s="2">
        <f>ROUND(MIN(M2:M9989),1)</f>
        <v/>
      </c>
      <c r="R2" s="2">
        <f>ROUND(MAX(M2:M9989),1)</f>
        <v/>
      </c>
      <c r="S2" s="2">
        <f>ABS((R2)-(Q2))</f>
        <v/>
      </c>
      <c r="T2">
        <f>ROUND(ABS(MAX(K2:K9989)-MIN(K2:K9989)),1)</f>
        <v/>
      </c>
      <c r="U2">
        <f>ROUND(ABS(MAX(L2:L9989)-MIN(L2:L9989)),1)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0.8</v>
      </c>
      <c r="D3" s="4" t="n">
        <v>75</v>
      </c>
      <c r="E3" s="4" t="n">
        <v>-10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3.7</v>
      </c>
      <c r="D4" s="4" t="n">
        <v>2</v>
      </c>
      <c r="E4" s="4" t="n">
        <v>21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2.6</v>
      </c>
      <c r="D5" s="4" t="n">
        <v>312</v>
      </c>
      <c r="E5" s="4" t="n">
        <v>-60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2.5</v>
      </c>
      <c r="D6" s="4" t="n">
        <v>60</v>
      </c>
      <c r="E6" s="4" t="n">
        <v>-5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n"/>
      <c r="B7" s="3" t="n"/>
      <c r="C7" s="1" t="n"/>
      <c r="D7" s="4" t="n"/>
      <c r="E7" s="4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2" t="n"/>
      <c r="Q7" s="4" t="n"/>
    </row>
    <row r="8">
      <c r="A8" s="3" t="n"/>
      <c r="B8" s="3" t="inlineStr">
        <is>
          <t>2</t>
        </is>
      </c>
      <c r="C8" s="1" t="n"/>
      <c r="D8" s="4" t="n"/>
      <c r="E8" s="4" t="n"/>
      <c r="F8" s="1" t="n"/>
      <c r="G8" s="1" t="n"/>
      <c r="H8" s="1" t="n"/>
      <c r="I8" s="1" t="n"/>
      <c r="J8" s="1" t="n"/>
      <c r="K8" s="1" t="n">
        <v>0.8815524960107748</v>
      </c>
      <c r="L8" s="1" t="n">
        <v>3.656052945541094</v>
      </c>
      <c r="M8" s="1" t="n">
        <v>1.187042871184067</v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2</t>
        </is>
      </c>
      <c r="B9" s="3" t="inlineStr">
        <is>
          <t>2.1</t>
        </is>
      </c>
      <c r="C9" s="1" t="n">
        <v>1.7</v>
      </c>
      <c r="D9" s="4" t="n">
        <v>100</v>
      </c>
      <c r="E9" s="4" t="n">
        <v>52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n"/>
      <c r="B10" s="3" t="n"/>
      <c r="C10" s="1" t="n"/>
      <c r="D10" s="4" t="n"/>
      <c r="E10" s="4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2" t="n"/>
      <c r="Q10" s="4" t="n"/>
    </row>
    <row r="11">
      <c r="A11" s="3" t="n"/>
      <c r="B11" s="3" t="inlineStr">
        <is>
          <t>3</t>
        </is>
      </c>
      <c r="C11" s="1" t="n"/>
      <c r="D11" s="4" t="n"/>
      <c r="E11" s="4" t="n"/>
      <c r="F11" s="1" t="n"/>
      <c r="G11" s="1" t="n"/>
      <c r="H11" s="1" t="n"/>
      <c r="I11" s="1" t="n"/>
      <c r="J11" s="1" t="n"/>
      <c r="K11" s="1" t="n">
        <v>-0.08453577710983839</v>
      </c>
      <c r="L11" s="1" t="n">
        <v>4.52592273380761</v>
      </c>
      <c r="M11" s="1" t="n">
        <v>-1.064623178655474</v>
      </c>
      <c r="N11" s="1">
        <f>SUM(J11+N10)</f>
        <v/>
      </c>
      <c r="O11" s="2">
        <f>ROUND(SUM(O10+F11),1)</f>
        <v/>
      </c>
      <c r="Q11" s="4" t="n"/>
    </row>
    <row r="12">
      <c r="A12" s="3" t="inlineStr">
        <is>
          <t>3</t>
        </is>
      </c>
      <c r="B12" s="3" t="inlineStr">
        <is>
          <t>3.1</t>
        </is>
      </c>
      <c r="C12" s="1" t="n">
        <v>2.4</v>
      </c>
      <c r="D12" s="4" t="n">
        <v>10</v>
      </c>
      <c r="E12" s="4" t="n">
        <v>26</v>
      </c>
      <c r="F12" s="1">
        <f>C12*COS(RADIANS(E12))</f>
        <v/>
      </c>
      <c r="G12" s="1">
        <f>C12*COS(RADIANS(E12)) *SIN(RADIANS(D12))</f>
        <v/>
      </c>
      <c r="H12" s="1">
        <f>C12*COS(RADIANS(E12))*COS(RADIANS(D12))</f>
        <v/>
      </c>
      <c r="I12" s="1">
        <f>C12*SIN(RADIANS(E12))</f>
        <v/>
      </c>
      <c r="J12" s="1">
        <f>C12*COS(RADIANS(E12))*COS(RADIANS(D12-180))</f>
        <v/>
      </c>
      <c r="K12" s="1">
        <f>SUM(K11+G12)</f>
        <v/>
      </c>
      <c r="L12" s="1">
        <f>SUM(L11+H12)</f>
        <v/>
      </c>
      <c r="M12" s="1">
        <f>SUM(M11+I12)</f>
        <v/>
      </c>
      <c r="N12" s="1">
        <f>SUM(J12+N11)</f>
        <v/>
      </c>
      <c r="O12" s="2">
        <f>ROUND(SUM(O11+F12),1)</f>
        <v/>
      </c>
      <c r="Q12" s="4" t="n"/>
    </row>
    <row r="13">
      <c r="A13" s="3" t="n"/>
      <c r="B13" s="3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</row>
    <row r="14">
      <c r="A14" t="inlineStr">
        <is>
          <t>Nazwa: Jaskinia Zawaliskowa Tomanowa</t>
        </is>
      </c>
      <c r="B14" s="3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</row>
    <row r="15">
      <c r="B15" s="3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2" t="n"/>
    </row>
    <row r="16">
      <c r="A16" t="inlineStr">
        <is>
          <t>Pomiary: Ja. Nowak; Jo. Nowak, 12. 07. 2009 r.</t>
        </is>
      </c>
      <c r="B16" s="3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</row>
    <row r="17">
      <c r="A17" t="inlineStr">
        <is>
          <t>Wysokość: ok. 1760 m npm</t>
        </is>
      </c>
      <c r="B17" s="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A18" t="inlineStr">
        <is>
          <t>Wysokość nad dnem Doliny Tomanowej: ok. 250 m</t>
        </is>
      </c>
      <c r="B18" s="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s="3" t="n"/>
      <c r="B19" s="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</row>
    <row r="20">
      <c r="A20" s="3" t="n"/>
      <c r="B20" s="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</row>
    <row r="21">
      <c r="A21" s="3" t="n"/>
      <c r="B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</row>
    <row r="22">
      <c r="A22" s="3" t="n"/>
      <c r="B22" s="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