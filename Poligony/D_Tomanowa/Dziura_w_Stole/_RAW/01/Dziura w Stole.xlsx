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iura w St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SUM(C3:C9988)</f>
        <v/>
      </c>
      <c r="Q2" s="2">
        <f>ROUND(MIN(M2:M9988),1)</f>
        <v/>
      </c>
      <c r="R2" s="2">
        <f>ROUND(MAX(M2:M9988),1)</f>
        <v/>
      </c>
      <c r="S2" s="2">
        <f>ABS((R2)-(Q2))</f>
        <v/>
      </c>
      <c r="T2">
        <f>ROUND(ABS(MAX(K2:K9988)-MIN(K2:K9988)),1)</f>
        <v/>
      </c>
      <c r="U2">
        <f>ROUND(ABS(MAX(L2:L9988)-MIN(L2:L9988)),1)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2.8</v>
      </c>
      <c r="D3" s="4" t="n">
        <v>225</v>
      </c>
      <c r="E3" s="4" t="n">
        <v>-75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3.2</v>
      </c>
      <c r="D4" s="4" t="n">
        <v>145</v>
      </c>
      <c r="E4" s="4" t="n">
        <v>-35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2.7</v>
      </c>
      <c r="D5" s="4" t="n">
        <v>165</v>
      </c>
      <c r="E5" s="4" t="n">
        <v>-20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n"/>
      <c r="B6" s="3" t="n"/>
      <c r="C6" s="1" t="n"/>
      <c r="D6" s="4" t="n"/>
      <c r="E6" s="4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2" t="n"/>
      <c r="Q6" s="4" t="n"/>
    </row>
    <row r="7">
      <c r="A7" s="3" t="n"/>
      <c r="B7" s="3" t="inlineStr">
        <is>
          <t>1</t>
        </is>
      </c>
      <c r="C7" s="1" t="n"/>
      <c r="D7" s="4" t="n"/>
      <c r="E7" s="4" t="n"/>
      <c r="F7" s="1" t="n"/>
      <c r="G7" s="1" t="n"/>
      <c r="H7" s="1" t="n"/>
      <c r="I7" s="1" t="n"/>
      <c r="J7" s="1" t="n"/>
      <c r="K7" s="1" t="n">
        <v>-0.512435565298214</v>
      </c>
      <c r="L7" s="1" t="n">
        <v>-0.5124355652982142</v>
      </c>
      <c r="M7" s="1" t="n">
        <v>-2.704592313609391</v>
      </c>
      <c r="N7" s="1">
        <f>SUM(J7+N6)</f>
        <v/>
      </c>
      <c r="O7" s="2">
        <f>ROUND(SUM(O6+F7),1)</f>
        <v/>
      </c>
      <c r="Q7" s="4" t="n"/>
    </row>
    <row r="8">
      <c r="A8" s="3" t="inlineStr">
        <is>
          <t>1</t>
        </is>
      </c>
      <c r="B8" s="3" t="inlineStr">
        <is>
          <t>1.1</t>
        </is>
      </c>
      <c r="C8" s="1" t="n">
        <v>3.4</v>
      </c>
      <c r="D8" s="4" t="n">
        <v>320</v>
      </c>
      <c r="E8" s="4" t="n">
        <v>8</v>
      </c>
      <c r="F8" s="1">
        <f>C8*COS(RADIANS(E8))</f>
        <v/>
      </c>
      <c r="G8" s="1">
        <f>C8*COS(RADIANS(E8)) *SIN(RADIANS(D8))</f>
        <v/>
      </c>
      <c r="H8" s="1">
        <f>C8*COS(RADIANS(E8))*COS(RADIANS(D8))</f>
        <v/>
      </c>
      <c r="I8" s="1">
        <f>C8*SIN(RADIANS(E8))</f>
        <v/>
      </c>
      <c r="J8" s="1">
        <f>C8*COS(RADIANS(E8))*COS(RADIANS(D8-180))</f>
        <v/>
      </c>
      <c r="K8" s="1">
        <f>SUM(K7+G8)</f>
        <v/>
      </c>
      <c r="L8" s="1">
        <f>SUM(L7+H8)</f>
        <v/>
      </c>
      <c r="M8" s="1">
        <f>SUM(M7+I8)</f>
        <v/>
      </c>
      <c r="N8" s="1">
        <f>SUM(J8+N7)</f>
        <v/>
      </c>
      <c r="O8" s="2">
        <f>ROUND(SUM(O7+F8),1)</f>
        <v/>
      </c>
      <c r="Q8" s="4" t="n"/>
    </row>
    <row r="9">
      <c r="A9" s="3" t="n"/>
      <c r="B9" s="3" t="n"/>
      <c r="C9" s="1" t="n"/>
      <c r="D9" s="4" t="n"/>
      <c r="E9" s="4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2" t="n"/>
      <c r="Q9" s="4" t="n"/>
    </row>
    <row r="10">
      <c r="A10" s="3" t="n"/>
      <c r="B10" s="3" t="inlineStr">
        <is>
          <t>2</t>
        </is>
      </c>
      <c r="C10" s="1" t="n"/>
      <c r="D10" s="4" t="n"/>
      <c r="E10" s="4" t="n"/>
      <c r="F10" s="1" t="n"/>
      <c r="G10" s="1" t="n"/>
      <c r="H10" s="1" t="n"/>
      <c r="I10" s="1" t="n"/>
      <c r="J10" s="1" t="n"/>
      <c r="K10" s="1" t="n">
        <v>0.9910726279592392</v>
      </c>
      <c r="L10" s="1" t="n">
        <v>-2.659667794619285</v>
      </c>
      <c r="M10" s="1" t="n">
        <v>-4.540036909932739</v>
      </c>
      <c r="N10" s="1">
        <f>SUM(J10+N9)</f>
        <v/>
      </c>
      <c r="O10" s="2">
        <f>ROUND(SUM(O9+F10),1)</f>
        <v/>
      </c>
      <c r="Q10" s="4" t="n"/>
    </row>
    <row r="11">
      <c r="A11" s="3" t="inlineStr">
        <is>
          <t>2</t>
        </is>
      </c>
      <c r="B11" s="3" t="inlineStr">
        <is>
          <t>2.1</t>
        </is>
      </c>
      <c r="C11" s="1" t="n">
        <v>3.7</v>
      </c>
      <c r="D11" s="4" t="n">
        <v>12</v>
      </c>
      <c r="E11" s="4" t="n">
        <v>26</v>
      </c>
      <c r="F11" s="1">
        <f>C11*COS(RADIANS(E11))</f>
        <v/>
      </c>
      <c r="G11" s="1">
        <f>C11*COS(RADIANS(E11)) *SIN(RADIANS(D11))</f>
        <v/>
      </c>
      <c r="H11" s="1">
        <f>C11*COS(RADIANS(E11))*COS(RADIANS(D11))</f>
        <v/>
      </c>
      <c r="I11" s="1">
        <f>C11*SIN(RADIANS(E11))</f>
        <v/>
      </c>
      <c r="J11" s="1">
        <f>C11*COS(RADIANS(E11))*COS(RADIANS(D11-180))</f>
        <v/>
      </c>
      <c r="K11" s="1">
        <f>SUM(K10+G11)</f>
        <v/>
      </c>
      <c r="L11" s="1">
        <f>SUM(L10+H11)</f>
        <v/>
      </c>
      <c r="M11" s="1">
        <f>SUM(M10+I11)</f>
        <v/>
      </c>
      <c r="N11" s="1">
        <f>SUM(J11+N10)</f>
        <v/>
      </c>
      <c r="O11" s="2">
        <f>ROUND(SUM(O10+F11),1)</f>
        <v/>
      </c>
      <c r="Q11" s="4" t="n"/>
    </row>
    <row r="12">
      <c r="A12" s="3" t="n"/>
      <c r="B12" s="3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2" t="n"/>
    </row>
    <row r="13">
      <c r="A13" t="inlineStr">
        <is>
          <t>Nazwa: Dziura w Stole</t>
        </is>
      </c>
      <c r="B13" s="3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2" t="n"/>
    </row>
    <row r="14">
      <c r="B14" s="3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" t="n"/>
    </row>
    <row r="15">
      <c r="A15" t="inlineStr">
        <is>
          <t>Pomiary: Ja. Nowak; Jo. Nowak, 11. 07. 2009 r.</t>
        </is>
      </c>
      <c r="B15" s="3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2" t="n"/>
    </row>
    <row r="16">
      <c r="A16" t="inlineStr">
        <is>
          <t>Wysokość: ok. 1900 m npm</t>
        </is>
      </c>
      <c r="B16" s="3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2" t="n"/>
    </row>
    <row r="17">
      <c r="A17" t="inlineStr">
        <is>
          <t>Wysokość nad dnem Doliny Tomanowej: ok. 400 m</t>
        </is>
      </c>
      <c r="B17" s="3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</row>
    <row r="18">
      <c r="A18" s="3" t="n"/>
      <c r="B18" s="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</row>
    <row r="19">
      <c r="A19" s="3" t="n"/>
      <c r="B19" s="3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2" t="n"/>
    </row>
    <row r="20">
      <c r="A20" s="3" t="n"/>
      <c r="B20" s="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2" t="n"/>
    </row>
    <row r="21">
      <c r="A21" s="3" t="n"/>
      <c r="B21" s="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</row>
    <row r="22">
      <c r="A22" s="3" t="n"/>
      <c r="B22" s="3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