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ucha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</t>
        </is>
      </c>
      <c r="B1" t="inlineStr">
        <is>
          <t>Cel</t>
        </is>
      </c>
      <c r="C1" s="1" t="inlineStr">
        <is>
          <t>L</t>
        </is>
      </c>
      <c r="D1" s="1" t="inlineStr">
        <is>
          <t>A</t>
        </is>
      </c>
      <c r="E1" s="1" t="inlineStr">
        <is>
          <t>U</t>
        </is>
      </c>
      <c r="F1" s="1" t="inlineStr">
        <is>
          <t>D</t>
        </is>
      </c>
      <c r="G1" s="1" t="inlineStr">
        <is>
          <t>dy</t>
        </is>
      </c>
      <c r="H1" s="1" t="inlineStr">
        <is>
          <t>dx</t>
        </is>
      </c>
      <c r="I1" s="1" t="inlineStr">
        <is>
          <t>dh</t>
        </is>
      </c>
      <c r="J1" s="1" t="inlineStr">
        <is>
          <t>dv (180)</t>
        </is>
      </c>
      <c r="K1" s="1" t="inlineStr">
        <is>
          <t>Y</t>
        </is>
      </c>
      <c r="L1" s="1" t="inlineStr">
        <is>
          <t>X</t>
        </is>
      </c>
      <c r="M1" s="1" t="inlineStr">
        <is>
          <t>H</t>
        </is>
      </c>
      <c r="N1" s="1" t="inlineStr">
        <is>
          <t>V</t>
        </is>
      </c>
      <c r="O1" s="1" t="inlineStr">
        <is>
          <t>Suma D</t>
        </is>
      </c>
      <c r="P1" s="1" t="inlineStr">
        <is>
          <t>Długość</t>
        </is>
      </c>
      <c r="Q1" s="1" t="inlineStr">
        <is>
          <t>Głęb.</t>
        </is>
      </c>
      <c r="R1" s="1" t="inlineStr">
        <is>
          <t>Przewyż.</t>
        </is>
      </c>
      <c r="S1" s="1" t="inlineStr">
        <is>
          <t>Deniwel.</t>
        </is>
      </c>
      <c r="T1" s="1" t="inlineStr">
        <is>
          <t>Roz. Y</t>
        </is>
      </c>
      <c r="U1" s="1" t="inlineStr">
        <is>
          <t>Roz. X</t>
        </is>
      </c>
    </row>
    <row r="2">
      <c r="C2" s="1" t="n"/>
      <c r="K2" t="n">
        <v>0</v>
      </c>
      <c r="L2" t="n">
        <v>0</v>
      </c>
      <c r="M2" t="n">
        <v>0</v>
      </c>
      <c r="N2" t="n">
        <v>0</v>
      </c>
      <c r="P2" s="2">
        <f>SUM(C3:C9999)</f>
        <v/>
      </c>
      <c r="Q2" s="2">
        <f>ROUND(MIN(M2:M9999),1)</f>
        <v/>
      </c>
      <c r="R2" s="2">
        <f>ROUND(MAX(M2:M9999),1)</f>
        <v/>
      </c>
      <c r="S2" s="2">
        <f>ABS((R2)-(Q2))</f>
        <v/>
      </c>
      <c r="T2">
        <f>ROUND(ABS(MAX(K2:K9999)-MIN(K2:K9999)),1)</f>
        <v/>
      </c>
      <c r="U2">
        <f>ROUND(ABS(MAX(L2:L9999)-MIN(L2:L9999)),1)</f>
        <v/>
      </c>
    </row>
    <row r="3">
      <c r="A3" s="3" t="inlineStr">
        <is>
          <t>0</t>
        </is>
      </c>
      <c r="B3" s="3" t="inlineStr">
        <is>
          <t>1</t>
        </is>
      </c>
      <c r="C3" s="1" t="n">
        <v>1.2</v>
      </c>
      <c r="D3" s="4" t="n">
        <v>130</v>
      </c>
      <c r="E3" s="4" t="n">
        <v>0</v>
      </c>
      <c r="F3" s="1">
        <f>C3*COS(RADIANS(E3))</f>
        <v/>
      </c>
      <c r="G3" s="1">
        <f>C3*COS(RADIANS(E3)) *SIN(RADIANS(D3))</f>
        <v/>
      </c>
      <c r="H3" s="1">
        <f>C3*COS(RADIANS(E3))*COS(RADIANS(D3))</f>
        <v/>
      </c>
      <c r="I3" s="1">
        <f>C3*SIN(RADIANS(E3))</f>
        <v/>
      </c>
      <c r="J3" s="1">
        <f>C3*COS(RADIANS(E3))*COS(RADIANS(D3-180))</f>
        <v/>
      </c>
      <c r="K3" s="1">
        <f>SUM(K2+G3)</f>
        <v/>
      </c>
      <c r="L3" s="1">
        <f>SUM(L2+H3)</f>
        <v/>
      </c>
      <c r="M3" s="1">
        <f>SUM(M2+I3)</f>
        <v/>
      </c>
      <c r="N3" s="1">
        <f>SUM(J3+N2)</f>
        <v/>
      </c>
      <c r="O3" s="2">
        <f>ROUND(SUM(O2+F3),1)</f>
        <v/>
      </c>
    </row>
    <row r="4">
      <c r="A4" s="3" t="inlineStr">
        <is>
          <t>1</t>
        </is>
      </c>
      <c r="B4" s="3" t="inlineStr">
        <is>
          <t>2</t>
        </is>
      </c>
      <c r="C4" s="1" t="n">
        <v>4</v>
      </c>
      <c r="D4" s="4" t="n">
        <v>0</v>
      </c>
      <c r="E4" s="4" t="n">
        <v>-90</v>
      </c>
      <c r="F4" s="1">
        <f>C4*COS(RADIANS(E4))</f>
        <v/>
      </c>
      <c r="G4" s="1">
        <f>C4*COS(RADIANS(E4)) *SIN(RADIANS(D4))</f>
        <v/>
      </c>
      <c r="H4" s="1">
        <f>C4*COS(RADIANS(E4))*COS(RADIANS(D4))</f>
        <v/>
      </c>
      <c r="I4" s="1">
        <f>C4*SIN(RADIANS(E4))</f>
        <v/>
      </c>
      <c r="J4" s="1">
        <f>C4*COS(RADIANS(E4))*COS(RADIANS(D4-180))</f>
        <v/>
      </c>
      <c r="K4" s="1">
        <f>SUM(K3+G4)</f>
        <v/>
      </c>
      <c r="L4" s="1">
        <f>SUM(L3+H4)</f>
        <v/>
      </c>
      <c r="M4" s="1">
        <f>SUM(M3+I4)</f>
        <v/>
      </c>
      <c r="N4" s="1">
        <f>SUM(J4+N3)</f>
        <v/>
      </c>
      <c r="O4" s="2">
        <f>ROUND(SUM(O3+F4),1)</f>
        <v/>
      </c>
      <c r="Q4" s="4" t="n"/>
    </row>
    <row r="5">
      <c r="A5" s="3" t="inlineStr">
        <is>
          <t>2</t>
        </is>
      </c>
      <c r="B5" s="3" t="inlineStr">
        <is>
          <t>3</t>
        </is>
      </c>
      <c r="C5" s="1" t="n">
        <v>4.65</v>
      </c>
      <c r="D5" s="4" t="n">
        <v>148</v>
      </c>
      <c r="E5" s="4" t="n">
        <v>-22</v>
      </c>
      <c r="F5" s="1">
        <f>C5*COS(RADIANS(E5))</f>
        <v/>
      </c>
      <c r="G5" s="1">
        <f>C5*COS(RADIANS(E5)) *SIN(RADIANS(D5))</f>
        <v/>
      </c>
      <c r="H5" s="1">
        <f>C5*COS(RADIANS(E5))*COS(RADIANS(D5))</f>
        <v/>
      </c>
      <c r="I5" s="1">
        <f>C5*SIN(RADIANS(E5))</f>
        <v/>
      </c>
      <c r="J5" s="1">
        <f>C5*COS(RADIANS(E5))*COS(RADIANS(D5-180))</f>
        <v/>
      </c>
      <c r="K5" s="1">
        <f>SUM(K4+G5)</f>
        <v/>
      </c>
      <c r="L5" s="1">
        <f>SUM(L4+H5)</f>
        <v/>
      </c>
      <c r="M5" s="1">
        <f>SUM(M4+I5)</f>
        <v/>
      </c>
      <c r="N5" s="1">
        <f>SUM(J5+N4)</f>
        <v/>
      </c>
      <c r="O5" s="2">
        <f>ROUND(SUM(O4+F5),1)</f>
        <v/>
      </c>
      <c r="Q5" s="4" t="n"/>
    </row>
    <row r="6">
      <c r="A6" s="3" t="inlineStr">
        <is>
          <t>3</t>
        </is>
      </c>
      <c r="B6" s="3" t="inlineStr">
        <is>
          <t>4</t>
        </is>
      </c>
      <c r="C6" s="1" t="n">
        <v>1.8</v>
      </c>
      <c r="D6" s="4" t="n">
        <v>130</v>
      </c>
      <c r="E6" s="4" t="n">
        <v>-4</v>
      </c>
      <c r="F6" s="1">
        <f>C6*COS(RADIANS(E6))</f>
        <v/>
      </c>
      <c r="G6" s="1">
        <f>C6*COS(RADIANS(E6)) *SIN(RADIANS(D6))</f>
        <v/>
      </c>
      <c r="H6" s="1">
        <f>C6*COS(RADIANS(E6))*COS(RADIANS(D6))</f>
        <v/>
      </c>
      <c r="I6" s="1">
        <f>C6*SIN(RADIANS(E6))</f>
        <v/>
      </c>
      <c r="J6" s="1">
        <f>C6*COS(RADIANS(E6))*COS(RADIANS(D6-180))</f>
        <v/>
      </c>
      <c r="K6" s="1">
        <f>SUM(K5+G6)</f>
        <v/>
      </c>
      <c r="L6" s="1">
        <f>SUM(L5+H6)</f>
        <v/>
      </c>
      <c r="M6" s="1">
        <f>SUM(M5+I6)</f>
        <v/>
      </c>
      <c r="N6" s="1">
        <f>SUM(J6+N5)</f>
        <v/>
      </c>
      <c r="O6" s="2">
        <f>ROUND(SUM(O5+F6),1)</f>
        <v/>
      </c>
      <c r="P6" t="inlineStr">
        <is>
          <t>spit</t>
        </is>
      </c>
      <c r="Q6" s="4" t="n"/>
    </row>
    <row r="7">
      <c r="A7" s="3" t="inlineStr">
        <is>
          <t>4</t>
        </is>
      </c>
      <c r="B7" s="3" t="inlineStr">
        <is>
          <t>5</t>
        </is>
      </c>
      <c r="C7" s="1" t="n">
        <v>7.05</v>
      </c>
      <c r="D7" s="4" t="n">
        <v>0</v>
      </c>
      <c r="E7" s="4" t="n">
        <v>-90</v>
      </c>
      <c r="F7" s="1">
        <f>C7*COS(RADIANS(E7))</f>
        <v/>
      </c>
      <c r="G7" s="1">
        <f>C7*COS(RADIANS(E7)) *SIN(RADIANS(D7))</f>
        <v/>
      </c>
      <c r="H7" s="1">
        <f>C7*COS(RADIANS(E7))*COS(RADIANS(D7))</f>
        <v/>
      </c>
      <c r="I7" s="1">
        <f>C7*SIN(RADIANS(E7))</f>
        <v/>
      </c>
      <c r="J7" s="1">
        <f>C7*COS(RADIANS(E7))*COS(RADIANS(D7-180))</f>
        <v/>
      </c>
      <c r="K7" s="1">
        <f>SUM(K6+G7)</f>
        <v/>
      </c>
      <c r="L7" s="1">
        <f>SUM(L6+H7)</f>
        <v/>
      </c>
      <c r="M7" s="1">
        <f>SUM(M6+I7)</f>
        <v/>
      </c>
      <c r="N7" s="1">
        <f>SUM(J7+N6)</f>
        <v/>
      </c>
      <c r="O7" s="2">
        <f>ROUND(SUM(O6+F7),1)</f>
        <v/>
      </c>
      <c r="Q7" s="4" t="n"/>
    </row>
    <row r="8">
      <c r="A8" s="3" t="inlineStr">
        <is>
          <t>5</t>
        </is>
      </c>
      <c r="B8" s="3" t="inlineStr">
        <is>
          <t>6</t>
        </is>
      </c>
      <c r="C8" s="1" t="n">
        <v>2.45</v>
      </c>
      <c r="D8" s="4" t="n">
        <v>144</v>
      </c>
      <c r="E8" s="4" t="n">
        <v>-9</v>
      </c>
      <c r="F8" s="1">
        <f>C8*COS(RADIANS(E8))</f>
        <v/>
      </c>
      <c r="G8" s="1">
        <f>C8*COS(RADIANS(E8)) *SIN(RADIANS(D8))</f>
        <v/>
      </c>
      <c r="H8" s="1">
        <f>C8*COS(RADIANS(E8))*COS(RADIANS(D8))</f>
        <v/>
      </c>
      <c r="I8" s="1">
        <f>C8*SIN(RADIANS(E8))</f>
        <v/>
      </c>
      <c r="J8" s="1">
        <f>C8*COS(RADIANS(E8))*COS(RADIANS(D8-180))</f>
        <v/>
      </c>
      <c r="K8" s="1">
        <f>SUM(K7+G8)</f>
        <v/>
      </c>
      <c r="L8" s="1">
        <f>SUM(L7+H8)</f>
        <v/>
      </c>
      <c r="M8" s="1">
        <f>SUM(M7+I8)</f>
        <v/>
      </c>
      <c r="N8" s="1">
        <f>SUM(J8+N7)</f>
        <v/>
      </c>
      <c r="O8" s="2">
        <f>ROUND(SUM(O7+F8),1)</f>
        <v/>
      </c>
      <c r="Q8" s="4" t="n"/>
    </row>
    <row r="9">
      <c r="A9" s="3" t="inlineStr">
        <is>
          <t>6</t>
        </is>
      </c>
      <c r="B9" s="3" t="inlineStr">
        <is>
          <t>7</t>
        </is>
      </c>
      <c r="C9" s="1" t="n">
        <v>2.65</v>
      </c>
      <c r="D9" s="4" t="n">
        <v>133</v>
      </c>
      <c r="E9" s="4" t="n">
        <v>-15</v>
      </c>
      <c r="F9" s="1">
        <f>C9*COS(RADIANS(E9))</f>
        <v/>
      </c>
      <c r="G9" s="1">
        <f>C9*COS(RADIANS(E9)) *SIN(RADIANS(D9))</f>
        <v/>
      </c>
      <c r="H9" s="1">
        <f>C9*COS(RADIANS(E9))*COS(RADIANS(D9))</f>
        <v/>
      </c>
      <c r="I9" s="1">
        <f>C9*SIN(RADIANS(E9))</f>
        <v/>
      </c>
      <c r="J9" s="1">
        <f>C9*COS(RADIANS(E9))*COS(RADIANS(D9-180))</f>
        <v/>
      </c>
      <c r="K9" s="1">
        <f>SUM(K8+G9)</f>
        <v/>
      </c>
      <c r="L9" s="1">
        <f>SUM(L8+H9)</f>
        <v/>
      </c>
      <c r="M9" s="1">
        <f>SUM(M8+I9)</f>
        <v/>
      </c>
      <c r="N9" s="1">
        <f>SUM(J9+N8)</f>
        <v/>
      </c>
      <c r="O9" s="2">
        <f>ROUND(SUM(O8+F9),1)</f>
        <v/>
      </c>
      <c r="Q9" s="4" t="n"/>
    </row>
    <row r="10">
      <c r="A10" s="3" t="inlineStr">
        <is>
          <t>7</t>
        </is>
      </c>
      <c r="B10" s="3" t="inlineStr">
        <is>
          <t>8</t>
        </is>
      </c>
      <c r="C10" s="1" t="n">
        <v>1.95</v>
      </c>
      <c r="D10" s="4" t="n">
        <v>126</v>
      </c>
      <c r="E10" s="4" t="n">
        <v>6</v>
      </c>
      <c r="F10" s="1">
        <f>C10*COS(RADIANS(E10))</f>
        <v/>
      </c>
      <c r="G10" s="1">
        <f>C10*COS(RADIANS(E10)) *SIN(RADIANS(D10))</f>
        <v/>
      </c>
      <c r="H10" s="1">
        <f>C10*COS(RADIANS(E10))*COS(RADIANS(D10))</f>
        <v/>
      </c>
      <c r="I10" s="1">
        <f>C10*SIN(RADIANS(E10))</f>
        <v/>
      </c>
      <c r="J10" s="1">
        <f>C10*COS(RADIANS(E10))*COS(RADIANS(D10-180))</f>
        <v/>
      </c>
      <c r="K10" s="1">
        <f>SUM(K9+G10)</f>
        <v/>
      </c>
      <c r="L10" s="1">
        <f>SUM(L9+H10)</f>
        <v/>
      </c>
      <c r="M10" s="1">
        <f>SUM(M9+I10)</f>
        <v/>
      </c>
      <c r="N10" s="1">
        <f>SUM(J10+N9)</f>
        <v/>
      </c>
      <c r="O10" s="2">
        <f>ROUND(SUM(O9+F10),1)</f>
        <v/>
      </c>
      <c r="Q10" s="4" t="n"/>
    </row>
    <row r="11">
      <c r="A11" s="3" t="inlineStr">
        <is>
          <t>8</t>
        </is>
      </c>
      <c r="B11" s="3" t="inlineStr">
        <is>
          <t>9</t>
        </is>
      </c>
      <c r="C11" s="1" t="n">
        <v>2.78</v>
      </c>
      <c r="D11" s="4" t="n">
        <v>140</v>
      </c>
      <c r="E11" s="4" t="n">
        <v>12</v>
      </c>
      <c r="F11" s="1">
        <f>C11*COS(RADIANS(E11))</f>
        <v/>
      </c>
      <c r="G11" s="1">
        <f>C11*COS(RADIANS(E11)) *SIN(RADIANS(D11))</f>
        <v/>
      </c>
      <c r="H11" s="1">
        <f>C11*COS(RADIANS(E11))*COS(RADIANS(D11))</f>
        <v/>
      </c>
      <c r="I11" s="1">
        <f>C11*SIN(RADIANS(E11))</f>
        <v/>
      </c>
      <c r="J11" s="1">
        <f>C11*COS(RADIANS(E11))*COS(RADIANS(D11-180))</f>
        <v/>
      </c>
      <c r="K11" s="1">
        <f>SUM(K10+G11)</f>
        <v/>
      </c>
      <c r="L11" s="1">
        <f>SUM(L10+H11)</f>
        <v/>
      </c>
      <c r="M11" s="1">
        <f>SUM(M10+I11)</f>
        <v/>
      </c>
      <c r="N11" s="1">
        <f>SUM(J11+N10)</f>
        <v/>
      </c>
      <c r="O11" s="2">
        <f>ROUND(SUM(O10+F11),1)</f>
        <v/>
      </c>
      <c r="Q11" s="4" t="n"/>
    </row>
    <row r="12">
      <c r="A12" s="3" t="inlineStr">
        <is>
          <t>9</t>
        </is>
      </c>
      <c r="B12" s="3" t="inlineStr">
        <is>
          <t>10</t>
        </is>
      </c>
      <c r="C12" s="1" t="n">
        <v>2.71</v>
      </c>
      <c r="D12" s="4" t="n">
        <v>145</v>
      </c>
      <c r="E12" s="4" t="n">
        <v>-11</v>
      </c>
      <c r="F12" s="1">
        <f>C12*COS(RADIANS(E12))</f>
        <v/>
      </c>
      <c r="G12" s="1">
        <f>C12*COS(RADIANS(E12)) *SIN(RADIANS(D12))</f>
        <v/>
      </c>
      <c r="H12" s="1">
        <f>C12*COS(RADIANS(E12))*COS(RADIANS(D12))</f>
        <v/>
      </c>
      <c r="I12" s="1">
        <f>C12*SIN(RADIANS(E12))</f>
        <v/>
      </c>
      <c r="J12" s="1">
        <f>C12*COS(RADIANS(E12))*COS(RADIANS(D12-180))</f>
        <v/>
      </c>
      <c r="K12" s="1">
        <f>SUM(K11+G12)</f>
        <v/>
      </c>
      <c r="L12" s="1">
        <f>SUM(L11+H12)</f>
        <v/>
      </c>
      <c r="M12" s="1">
        <f>SUM(M11+I12)</f>
        <v/>
      </c>
      <c r="N12" s="1">
        <f>SUM(J12+N11)</f>
        <v/>
      </c>
      <c r="O12" s="2">
        <f>ROUND(SUM(O11+F12),1)</f>
        <v/>
      </c>
      <c r="Q12" s="4" t="n"/>
    </row>
    <row r="13">
      <c r="A13" s="3" t="inlineStr">
        <is>
          <t>10</t>
        </is>
      </c>
      <c r="B13" s="3" t="inlineStr">
        <is>
          <t>11</t>
        </is>
      </c>
      <c r="C13" s="1" t="n">
        <v>2.63</v>
      </c>
      <c r="D13" s="4" t="n">
        <v>128</v>
      </c>
      <c r="E13" s="4" t="n">
        <v>25</v>
      </c>
      <c r="F13" s="1">
        <f>C13*COS(RADIANS(E13))</f>
        <v/>
      </c>
      <c r="G13" s="1">
        <f>C13*COS(RADIANS(E13)) *SIN(RADIANS(D13))</f>
        <v/>
      </c>
      <c r="H13" s="1">
        <f>C13*COS(RADIANS(E13))*COS(RADIANS(D13))</f>
        <v/>
      </c>
      <c r="I13" s="1">
        <f>C13*SIN(RADIANS(E13))</f>
        <v/>
      </c>
      <c r="J13" s="1">
        <f>C13*COS(RADIANS(E13))*COS(RADIANS(D13-180))</f>
        <v/>
      </c>
      <c r="K13" s="1">
        <f>SUM(K12+G13)</f>
        <v/>
      </c>
      <c r="L13" s="1">
        <f>SUM(L12+H13)</f>
        <v/>
      </c>
      <c r="M13" s="1">
        <f>SUM(M12+I13)</f>
        <v/>
      </c>
      <c r="N13" s="1">
        <f>SUM(J13+N12)</f>
        <v/>
      </c>
      <c r="O13" s="2">
        <f>ROUND(SUM(O12+F13),1)</f>
        <v/>
      </c>
    </row>
    <row r="14">
      <c r="A14" s="3" t="inlineStr">
        <is>
          <t>11</t>
        </is>
      </c>
      <c r="B14" s="3" t="inlineStr">
        <is>
          <t>12</t>
        </is>
      </c>
      <c r="C14" s="1" t="n">
        <v>1.25</v>
      </c>
      <c r="D14" s="4" t="n">
        <v>105</v>
      </c>
      <c r="E14" s="4" t="n">
        <v>0</v>
      </c>
      <c r="F14" s="1">
        <f>C14*COS(RADIANS(E14))</f>
        <v/>
      </c>
      <c r="G14" s="1">
        <f>C14*COS(RADIANS(E14)) *SIN(RADIANS(D14))</f>
        <v/>
      </c>
      <c r="H14" s="1">
        <f>C14*COS(RADIANS(E14))*COS(RADIANS(D14))</f>
        <v/>
      </c>
      <c r="I14" s="1">
        <f>C14*SIN(RADIANS(E14))</f>
        <v/>
      </c>
      <c r="J14" s="1">
        <f>C14*COS(RADIANS(E14))*COS(RADIANS(D14-180))</f>
        <v/>
      </c>
      <c r="K14" s="1">
        <f>SUM(K13+G14)</f>
        <v/>
      </c>
      <c r="L14" s="1">
        <f>SUM(L13+H14)</f>
        <v/>
      </c>
      <c r="M14" s="1">
        <f>SUM(M13+I14)</f>
        <v/>
      </c>
      <c r="N14" s="1">
        <f>SUM(J14+N13)</f>
        <v/>
      </c>
      <c r="O14" s="2">
        <f>ROUND(SUM(O13+F14),1)</f>
        <v/>
      </c>
    </row>
    <row r="15">
      <c r="A15" s="3" t="inlineStr">
        <is>
          <t>12</t>
        </is>
      </c>
      <c r="B15" s="3" t="inlineStr">
        <is>
          <t>13</t>
        </is>
      </c>
      <c r="C15" s="1" t="n">
        <v>1.42</v>
      </c>
      <c r="D15" s="4" t="n">
        <v>132</v>
      </c>
      <c r="E15" s="4" t="n">
        <v>4</v>
      </c>
      <c r="F15" s="1">
        <f>C15*COS(RADIANS(E15))</f>
        <v/>
      </c>
      <c r="G15" s="1">
        <f>C15*COS(RADIANS(E15)) *SIN(RADIANS(D15))</f>
        <v/>
      </c>
      <c r="H15" s="1">
        <f>C15*COS(RADIANS(E15))*COS(RADIANS(D15))</f>
        <v/>
      </c>
      <c r="I15" s="1">
        <f>C15*SIN(RADIANS(E15))</f>
        <v/>
      </c>
      <c r="J15" s="1">
        <f>C15*COS(RADIANS(E15))*COS(RADIANS(D15-180))</f>
        <v/>
      </c>
      <c r="K15" s="1">
        <f>SUM(K14+G15)</f>
        <v/>
      </c>
      <c r="L15" s="1">
        <f>SUM(L14+H15)</f>
        <v/>
      </c>
      <c r="M15" s="1">
        <f>SUM(M14+I15)</f>
        <v/>
      </c>
      <c r="N15" s="1">
        <f>SUM(J15+N14)</f>
        <v/>
      </c>
      <c r="O15" s="2">
        <f>ROUND(SUM(O14+F15),1)</f>
        <v/>
      </c>
    </row>
    <row r="16">
      <c r="A16" s="3" t="inlineStr">
        <is>
          <t>13</t>
        </is>
      </c>
      <c r="B16" s="3" t="inlineStr">
        <is>
          <t>14</t>
        </is>
      </c>
      <c r="C16" s="1" t="n">
        <v>1.47</v>
      </c>
      <c r="D16" s="4" t="n">
        <v>120</v>
      </c>
      <c r="E16" s="4" t="n">
        <v>6</v>
      </c>
      <c r="F16" s="1">
        <f>C16*COS(RADIANS(E16))</f>
        <v/>
      </c>
      <c r="G16" s="1">
        <f>C16*COS(RADIANS(E16)) *SIN(RADIANS(D16))</f>
        <v/>
      </c>
      <c r="H16" s="1">
        <f>C16*COS(RADIANS(E16))*COS(RADIANS(D16))</f>
        <v/>
      </c>
      <c r="I16" s="1">
        <f>C16*SIN(RADIANS(E16))</f>
        <v/>
      </c>
      <c r="J16" s="1">
        <f>C16*COS(RADIANS(E16))*COS(RADIANS(D16-180))</f>
        <v/>
      </c>
      <c r="K16" s="1">
        <f>SUM(K15+G16)</f>
        <v/>
      </c>
      <c r="L16" s="1">
        <f>SUM(L15+H16)</f>
        <v/>
      </c>
      <c r="M16" s="1">
        <f>SUM(M15+I16)</f>
        <v/>
      </c>
      <c r="N16" s="1">
        <f>SUM(J16+N15)</f>
        <v/>
      </c>
      <c r="O16" s="2">
        <f>ROUND(SUM(O15+F16),1)</f>
        <v/>
      </c>
    </row>
    <row r="17">
      <c r="A17" s="3" t="inlineStr">
        <is>
          <t>14</t>
        </is>
      </c>
      <c r="B17" s="3" t="inlineStr">
        <is>
          <t>15</t>
        </is>
      </c>
      <c r="C17" s="1" t="n">
        <v>2.92</v>
      </c>
      <c r="D17" s="4" t="n">
        <v>143</v>
      </c>
      <c r="E17" s="4" t="n">
        <v>40</v>
      </c>
      <c r="F17" s="1">
        <f>C17*COS(RADIANS(E17))</f>
        <v/>
      </c>
      <c r="G17" s="1">
        <f>C17*COS(RADIANS(E17)) *SIN(RADIANS(D17))</f>
        <v/>
      </c>
      <c r="H17" s="1">
        <f>C17*COS(RADIANS(E17))*COS(RADIANS(D17))</f>
        <v/>
      </c>
      <c r="I17" s="1">
        <f>C17*SIN(RADIANS(E17))</f>
        <v/>
      </c>
      <c r="J17" s="1">
        <f>C17*COS(RADIANS(E17))*COS(RADIANS(D17-180))</f>
        <v/>
      </c>
      <c r="K17" s="1">
        <f>SUM(K16+G17)</f>
        <v/>
      </c>
      <c r="L17" s="1">
        <f>SUM(L16+H17)</f>
        <v/>
      </c>
      <c r="M17" s="1">
        <f>SUM(M16+I17)</f>
        <v/>
      </c>
      <c r="N17" s="1">
        <f>SUM(J17+N16)</f>
        <v/>
      </c>
      <c r="O17" s="2">
        <f>ROUND(SUM(O16+F17),1)</f>
        <v/>
      </c>
    </row>
    <row r="18">
      <c r="A18" s="3" t="inlineStr">
        <is>
          <t>15</t>
        </is>
      </c>
      <c r="B18" s="3" t="inlineStr">
        <is>
          <t>16</t>
        </is>
      </c>
      <c r="C18" s="1" t="n">
        <v>2.27</v>
      </c>
      <c r="D18" s="4" t="n">
        <v>145</v>
      </c>
      <c r="E18" s="4" t="n">
        <v>67</v>
      </c>
      <c r="F18" s="1">
        <f>C18*COS(RADIANS(E18))</f>
        <v/>
      </c>
      <c r="G18" s="1">
        <f>C18*COS(RADIANS(E18)) *SIN(RADIANS(D18))</f>
        <v/>
      </c>
      <c r="H18" s="1">
        <f>C18*COS(RADIANS(E18))*COS(RADIANS(D18))</f>
        <v/>
      </c>
      <c r="I18" s="1">
        <f>C18*SIN(RADIANS(E18))</f>
        <v/>
      </c>
      <c r="J18" s="1">
        <f>C18*COS(RADIANS(E18))*COS(RADIANS(D18-180))</f>
        <v/>
      </c>
      <c r="K18" s="1">
        <f>SUM(K17+G18)</f>
        <v/>
      </c>
      <c r="L18" s="1">
        <f>SUM(L17+H18)</f>
        <v/>
      </c>
      <c r="M18" s="1">
        <f>SUM(M17+I18)</f>
        <v/>
      </c>
      <c r="N18" s="1">
        <f>SUM(J18+N17)</f>
        <v/>
      </c>
      <c r="O18" s="2">
        <f>ROUND(SUM(O17+F18),1)</f>
        <v/>
      </c>
    </row>
    <row r="19">
      <c r="A19" s="3" t="inlineStr">
        <is>
          <t>16</t>
        </is>
      </c>
      <c r="B19" s="3" t="inlineStr">
        <is>
          <t>17</t>
        </is>
      </c>
      <c r="C19" s="1" t="n">
        <v>2</v>
      </c>
      <c r="D19" s="4" t="n">
        <v>125</v>
      </c>
      <c r="E19" s="4" t="n">
        <v>35</v>
      </c>
      <c r="F19" s="1">
        <f>C19*COS(RADIANS(E19))</f>
        <v/>
      </c>
      <c r="G19" s="1">
        <f>C19*COS(RADIANS(E19)) *SIN(RADIANS(D19))</f>
        <v/>
      </c>
      <c r="H19" s="1">
        <f>C19*COS(RADIANS(E19))*COS(RADIANS(D19))</f>
        <v/>
      </c>
      <c r="I19" s="1">
        <f>C19*SIN(RADIANS(E19))</f>
        <v/>
      </c>
      <c r="J19" s="1">
        <f>C19*COS(RADIANS(E19))*COS(RADIANS(D19-180))</f>
        <v/>
      </c>
      <c r="K19" s="1">
        <f>SUM(K18+G19)</f>
        <v/>
      </c>
      <c r="L19" s="1">
        <f>SUM(L18+H19)</f>
        <v/>
      </c>
      <c r="M19" s="1">
        <f>SUM(M18+I19)</f>
        <v/>
      </c>
      <c r="N19" s="1">
        <f>SUM(J19+N18)</f>
        <v/>
      </c>
      <c r="O19" s="2">
        <f>ROUND(SUM(O18+F19),1)</f>
        <v/>
      </c>
    </row>
    <row r="20">
      <c r="A20" s="3" t="inlineStr">
        <is>
          <t>17</t>
        </is>
      </c>
      <c r="B20" s="3" t="inlineStr">
        <is>
          <t>18</t>
        </is>
      </c>
      <c r="C20" s="1" t="n">
        <v>2.5</v>
      </c>
      <c r="D20" s="4" t="n">
        <v>140</v>
      </c>
      <c r="E20" s="4" t="n">
        <v>22</v>
      </c>
      <c r="F20" s="1">
        <f>C20*COS(RADIANS(E20))</f>
        <v/>
      </c>
      <c r="G20" s="1">
        <f>C20*COS(RADIANS(E20)) *SIN(RADIANS(D20))</f>
        <v/>
      </c>
      <c r="H20" s="1">
        <f>C20*COS(RADIANS(E20))*COS(RADIANS(D20))</f>
        <v/>
      </c>
      <c r="I20" s="1">
        <f>C20*SIN(RADIANS(E20))</f>
        <v/>
      </c>
      <c r="J20" s="1">
        <f>C20*COS(RADIANS(E20))*COS(RADIANS(D20-180))</f>
        <v/>
      </c>
      <c r="K20" s="1">
        <f>SUM(K19+G20)</f>
        <v/>
      </c>
      <c r="L20" s="1">
        <f>SUM(L19+H20)</f>
        <v/>
      </c>
      <c r="M20" s="1">
        <f>SUM(M19+I20)</f>
        <v/>
      </c>
      <c r="N20" s="1">
        <f>SUM(J20+N19)</f>
        <v/>
      </c>
      <c r="O20" s="2">
        <f>ROUND(SUM(O19+F20),1)</f>
        <v/>
      </c>
    </row>
    <row r="21">
      <c r="A21" s="3" t="inlineStr">
        <is>
          <t>18</t>
        </is>
      </c>
      <c r="B21" s="3" t="inlineStr">
        <is>
          <t>19</t>
        </is>
      </c>
      <c r="C21" s="1" t="n">
        <v>4.3</v>
      </c>
      <c r="D21" s="4" t="n">
        <v>145</v>
      </c>
      <c r="E21" s="4" t="n">
        <v>-15</v>
      </c>
      <c r="F21" s="1">
        <f>C21*COS(RADIANS(E21))</f>
        <v/>
      </c>
      <c r="G21" s="1">
        <f>C21*COS(RADIANS(E21)) *SIN(RADIANS(D21))</f>
        <v/>
      </c>
      <c r="H21" s="1">
        <f>C21*COS(RADIANS(E21))*COS(RADIANS(D21))</f>
        <v/>
      </c>
      <c r="I21" s="1">
        <f>C21*SIN(RADIANS(E21))</f>
        <v/>
      </c>
      <c r="J21" s="1">
        <f>C21*COS(RADIANS(E21))*COS(RADIANS(D21-180))</f>
        <v/>
      </c>
      <c r="K21" s="1">
        <f>SUM(K20+G21)</f>
        <v/>
      </c>
      <c r="L21" s="1">
        <f>SUM(L20+H21)</f>
        <v/>
      </c>
      <c r="M21" s="1">
        <f>SUM(M20+I21)</f>
        <v/>
      </c>
      <c r="N21" s="1">
        <f>SUM(J21+N20)</f>
        <v/>
      </c>
      <c r="O21" s="2">
        <f>ROUND(SUM(O20+F21),1)</f>
        <v/>
      </c>
    </row>
    <row r="22">
      <c r="A22" s="3" t="inlineStr">
        <is>
          <t>19</t>
        </is>
      </c>
      <c r="B22" s="3" t="inlineStr">
        <is>
          <t>20</t>
        </is>
      </c>
      <c r="C22" s="1" t="n">
        <v>2</v>
      </c>
      <c r="D22" s="4" t="n">
        <v>190</v>
      </c>
      <c r="E22" s="4" t="n">
        <v>-15</v>
      </c>
      <c r="F22" s="1">
        <f>C22*COS(RADIANS(E22))</f>
        <v/>
      </c>
      <c r="G22" s="1">
        <f>C22*COS(RADIANS(E22)) *SIN(RADIANS(D22))</f>
        <v/>
      </c>
      <c r="H22" s="1">
        <f>C22*COS(RADIANS(E22))*COS(RADIANS(D22))</f>
        <v/>
      </c>
      <c r="I22" s="1">
        <f>C22*SIN(RADIANS(E22))</f>
        <v/>
      </c>
      <c r="J22" s="1">
        <f>C22*COS(RADIANS(E22))*COS(RADIANS(D22-180))</f>
        <v/>
      </c>
      <c r="K22" s="1">
        <f>SUM(K21+G22)</f>
        <v/>
      </c>
      <c r="L22" s="1">
        <f>SUM(L21+H22)</f>
        <v/>
      </c>
      <c r="M22" s="1">
        <f>SUM(M21+I22)</f>
        <v/>
      </c>
      <c r="N22" s="1">
        <f>SUM(J22+N21)</f>
        <v/>
      </c>
      <c r="O22" s="2">
        <f>ROUND(SUM(O21+F22),1)</f>
        <v/>
      </c>
    </row>
    <row r="23">
      <c r="A23" s="3" t="n"/>
      <c r="B23" s="3" t="n"/>
      <c r="C23" s="1" t="n"/>
      <c r="D23" s="4" t="n"/>
      <c r="E23" s="4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2" t="n"/>
    </row>
    <row r="24">
      <c r="A24" s="3" t="n"/>
      <c r="B24" s="3" t="inlineStr">
        <is>
          <t>2</t>
        </is>
      </c>
      <c r="C24" s="1" t="n"/>
      <c r="D24" s="4" t="n"/>
      <c r="E24" s="4" t="n"/>
      <c r="F24" s="1" t="n"/>
      <c r="G24" s="1" t="n"/>
      <c r="H24" s="1" t="n"/>
      <c r="I24" s="1" t="n"/>
      <c r="J24" s="1" t="n"/>
      <c r="K24" s="1" t="n">
        <v>0.9192533317427736</v>
      </c>
      <c r="L24" s="1" t="n">
        <v>-0.771345131623847</v>
      </c>
      <c r="M24" s="1" t="n">
        <v>-4</v>
      </c>
      <c r="N24" s="1">
        <f>SUM(J24+N23)</f>
        <v/>
      </c>
      <c r="O24" s="2">
        <f>ROUND(SUM(O23+F24),1)</f>
        <v/>
      </c>
    </row>
    <row r="25">
      <c r="A25" s="3" t="inlineStr">
        <is>
          <t>2</t>
        </is>
      </c>
      <c r="B25" s="3" t="inlineStr">
        <is>
          <t>2.1</t>
        </is>
      </c>
      <c r="C25" s="1" t="n">
        <v>2.35</v>
      </c>
      <c r="D25" s="4" t="n">
        <v>310</v>
      </c>
      <c r="E25" s="4" t="n">
        <v>13</v>
      </c>
      <c r="F25" s="1">
        <f>C25*COS(RADIANS(E25))</f>
        <v/>
      </c>
      <c r="G25" s="1">
        <f>C25*COS(RADIANS(E25)) *SIN(RADIANS(D25))</f>
        <v/>
      </c>
      <c r="H25" s="1">
        <f>C25*COS(RADIANS(E25))*COS(RADIANS(D25))</f>
        <v/>
      </c>
      <c r="I25" s="1">
        <f>C25*SIN(RADIANS(E25))</f>
        <v/>
      </c>
      <c r="J25" s="1">
        <f>C25*COS(RADIANS(E25))*COS(RADIANS(D25-180))</f>
        <v/>
      </c>
      <c r="K25" s="1">
        <f>SUM(K24+G25)</f>
        <v/>
      </c>
      <c r="L25" s="1">
        <f>SUM(L24+H25)</f>
        <v/>
      </c>
      <c r="M25" s="1">
        <f>SUM(M24+I25)</f>
        <v/>
      </c>
      <c r="N25" s="1">
        <f>SUM(J25+N24)</f>
        <v/>
      </c>
      <c r="O25" s="2">
        <f>ROUND(SUM(O24+F25),1)</f>
        <v/>
      </c>
    </row>
    <row r="26">
      <c r="A26" s="3" t="inlineStr">
        <is>
          <t>2.1</t>
        </is>
      </c>
      <c r="B26" s="3" t="inlineStr">
        <is>
          <t>2.2</t>
        </is>
      </c>
      <c r="C26" s="1" t="n">
        <v>3.5</v>
      </c>
      <c r="D26" s="4" t="n">
        <v>310</v>
      </c>
      <c r="E26" s="4" t="n">
        <v>-45</v>
      </c>
      <c r="F26" s="1">
        <f>C26*COS(RADIANS(E26))</f>
        <v/>
      </c>
      <c r="G26" s="1">
        <f>C26*COS(RADIANS(E26)) *SIN(RADIANS(D26))</f>
        <v/>
      </c>
      <c r="H26" s="1">
        <f>C26*COS(RADIANS(E26))*COS(RADIANS(D26))</f>
        <v/>
      </c>
      <c r="I26" s="1">
        <f>C26*SIN(RADIANS(E26))</f>
        <v/>
      </c>
      <c r="J26" s="1">
        <f>C26*COS(RADIANS(E26))*COS(RADIANS(D26-180))</f>
        <v/>
      </c>
      <c r="K26" s="1">
        <f>SUM(K25+G26)</f>
        <v/>
      </c>
      <c r="L26" s="1">
        <f>SUM(L25+H26)</f>
        <v/>
      </c>
      <c r="M26" s="1">
        <f>SUM(M25+I26)</f>
        <v/>
      </c>
      <c r="N26" s="1">
        <f>SUM(J26+N25)</f>
        <v/>
      </c>
      <c r="O26" s="2">
        <f>ROUND(SUM(O25+F26),1)</f>
        <v/>
      </c>
    </row>
    <row r="27">
      <c r="A27" s="3" t="inlineStr">
        <is>
          <t>2.2</t>
        </is>
      </c>
      <c r="B27" s="3" t="inlineStr">
        <is>
          <t>2.3</t>
        </is>
      </c>
      <c r="C27" s="1" t="n">
        <v>1.2</v>
      </c>
      <c r="D27" s="4" t="n">
        <v>310</v>
      </c>
      <c r="E27" s="4" t="n">
        <v>0</v>
      </c>
      <c r="F27" s="1">
        <f>C27*COS(RADIANS(E27))</f>
        <v/>
      </c>
      <c r="G27" s="1">
        <f>C27*COS(RADIANS(E27)) *SIN(RADIANS(D27))</f>
        <v/>
      </c>
      <c r="H27" s="1">
        <f>C27*COS(RADIANS(E27))*COS(RADIANS(D27))</f>
        <v/>
      </c>
      <c r="I27" s="1">
        <f>C27*SIN(RADIANS(E27))</f>
        <v/>
      </c>
      <c r="J27" s="1">
        <f>C27*COS(RADIANS(E27))*COS(RADIANS(D27-180))</f>
        <v/>
      </c>
      <c r="K27" s="1">
        <f>SUM(K26+G27)</f>
        <v/>
      </c>
      <c r="L27" s="1">
        <f>SUM(L26+H27)</f>
        <v/>
      </c>
      <c r="M27" s="1">
        <f>SUM(M26+I27)</f>
        <v/>
      </c>
      <c r="N27" s="1">
        <f>SUM(J27+N26)</f>
        <v/>
      </c>
      <c r="O27" s="2">
        <f>ROUND(SUM(O26+F27),1)</f>
        <v/>
      </c>
    </row>
    <row r="28">
      <c r="A28" s="3" t="n"/>
      <c r="B28" s="3" t="n"/>
      <c r="C28" s="1" t="n"/>
      <c r="D28" s="4" t="n"/>
      <c r="E28" s="4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2" t="n"/>
    </row>
    <row r="29">
      <c r="A29" s="3" t="n"/>
      <c r="B29" s="3" t="inlineStr">
        <is>
          <t>2</t>
        </is>
      </c>
      <c r="C29" s="1" t="n"/>
      <c r="D29" s="4" t="n"/>
      <c r="E29" s="4" t="n"/>
      <c r="F29" s="1" t="n"/>
      <c r="G29" s="1" t="n"/>
      <c r="H29" s="1" t="n"/>
      <c r="I29" s="1" t="n"/>
      <c r="J29" s="1" t="n"/>
      <c r="K29" s="1" t="n">
        <v>0.9192533317427736</v>
      </c>
      <c r="L29" s="1" t="n">
        <v>-0.771345131623847</v>
      </c>
      <c r="M29" s="1" t="n">
        <v>-4</v>
      </c>
      <c r="N29" s="1">
        <f>SUM(J29+N28)</f>
        <v/>
      </c>
      <c r="O29" s="2">
        <f>ROUND(SUM(O28+F29),1)</f>
        <v/>
      </c>
    </row>
    <row r="30">
      <c r="A30" s="3" t="inlineStr">
        <is>
          <t>2</t>
        </is>
      </c>
      <c r="B30" s="3" t="inlineStr">
        <is>
          <t>2.10</t>
        </is>
      </c>
      <c r="C30" s="1" t="n">
        <v>5.8</v>
      </c>
      <c r="D30" s="4" t="n">
        <v>0</v>
      </c>
      <c r="E30" s="4" t="n">
        <v>-90</v>
      </c>
      <c r="F30" s="1">
        <f>C30*COS(RADIANS(E30))</f>
        <v/>
      </c>
      <c r="G30" s="1">
        <f>C30*COS(RADIANS(E30)) *SIN(RADIANS(D30))</f>
        <v/>
      </c>
      <c r="H30" s="1">
        <f>C30*COS(RADIANS(E30))*COS(RADIANS(D30))</f>
        <v/>
      </c>
      <c r="I30" s="1">
        <f>C30*SIN(RADIANS(E30))</f>
        <v/>
      </c>
      <c r="J30" s="1">
        <f>C30*COS(RADIANS(E30))*COS(RADIANS(D30-180))</f>
        <v/>
      </c>
      <c r="K30" s="1">
        <f>SUM(K29+G30)</f>
        <v/>
      </c>
      <c r="L30" s="1">
        <f>SUM(L29+H30)</f>
        <v/>
      </c>
      <c r="M30" s="1">
        <f>SUM(M29+I30)</f>
        <v/>
      </c>
      <c r="N30" s="1">
        <f>SUM(J30+N29)</f>
        <v/>
      </c>
      <c r="O30" s="2">
        <f>ROUND(SUM(O29+F30),1)</f>
        <v/>
      </c>
    </row>
    <row r="31">
      <c r="A31" s="3" t="inlineStr">
        <is>
          <t>2.10</t>
        </is>
      </c>
      <c r="B31" s="3" t="inlineStr">
        <is>
          <t>2.10.1</t>
        </is>
      </c>
      <c r="C31" s="1" t="n">
        <v>2.8</v>
      </c>
      <c r="D31" s="4" t="n">
        <v>310</v>
      </c>
      <c r="E31" s="4" t="n">
        <v>10</v>
      </c>
      <c r="F31" s="1">
        <f>C31*COS(RADIANS(E31))</f>
        <v/>
      </c>
      <c r="G31" s="1">
        <f>C31*COS(RADIANS(E31)) *SIN(RADIANS(D31))</f>
        <v/>
      </c>
      <c r="H31" s="1">
        <f>C31*COS(RADIANS(E31))*COS(RADIANS(D31))</f>
        <v/>
      </c>
      <c r="I31" s="1">
        <f>C31*SIN(RADIANS(E31))</f>
        <v/>
      </c>
      <c r="J31" s="1">
        <f>C31*COS(RADIANS(E31))*COS(RADIANS(D31-180))</f>
        <v/>
      </c>
      <c r="K31" s="1">
        <f>SUM(K30+G31)</f>
        <v/>
      </c>
      <c r="L31" s="1">
        <f>SUM(L30+H31)</f>
        <v/>
      </c>
      <c r="M31" s="1">
        <f>SUM(M30+I31)</f>
        <v/>
      </c>
      <c r="N31" s="1">
        <f>SUM(J31+N30)</f>
        <v/>
      </c>
      <c r="O31" s="2">
        <f>ROUND(SUM(O30+F31),1)</f>
        <v/>
      </c>
    </row>
    <row r="32">
      <c r="A32" s="3" t="n"/>
      <c r="B32" s="3" t="n"/>
      <c r="C32" s="1" t="n"/>
      <c r="D32" s="4" t="n"/>
      <c r="E32" s="4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2" t="n"/>
    </row>
    <row r="33">
      <c r="A33" s="3" t="n"/>
      <c r="B33" s="3" t="inlineStr">
        <is>
          <t>2.10</t>
        </is>
      </c>
      <c r="C33" s="1" t="n"/>
      <c r="D33" s="4" t="n"/>
      <c r="E33" s="4" t="n"/>
      <c r="F33" s="1" t="n"/>
      <c r="G33" s="1" t="n"/>
      <c r="H33" s="1" t="n"/>
      <c r="I33" s="1" t="n"/>
      <c r="J33" s="1" t="n"/>
      <c r="K33" s="1" t="n">
        <v>0.9192533317427736</v>
      </c>
      <c r="L33" s="1" t="n">
        <v>-0.7713451316238467</v>
      </c>
      <c r="M33" s="1" t="n">
        <v>-9.800000000000001</v>
      </c>
      <c r="N33" s="1">
        <f>SUM(J33+N32)</f>
        <v/>
      </c>
      <c r="O33" s="2">
        <f>ROUND(SUM(O32+F33),1)</f>
        <v/>
      </c>
    </row>
    <row r="34">
      <c r="A34" s="3" t="inlineStr">
        <is>
          <t>2.10</t>
        </is>
      </c>
      <c r="B34" s="3" t="inlineStr">
        <is>
          <t>5.1</t>
        </is>
      </c>
      <c r="C34" s="1" t="n">
        <v>2</v>
      </c>
      <c r="D34" s="4" t="n">
        <v>130</v>
      </c>
      <c r="E34" s="4" t="n">
        <v>-60</v>
      </c>
      <c r="F34" s="1">
        <f>C34*COS(RADIANS(E34))</f>
        <v/>
      </c>
      <c r="G34" s="1">
        <f>C34*COS(RADIANS(E34)) *SIN(RADIANS(D34))</f>
        <v/>
      </c>
      <c r="H34" s="1">
        <f>C34*COS(RADIANS(E34))*COS(RADIANS(D34))</f>
        <v/>
      </c>
      <c r="I34" s="1">
        <f>C34*SIN(RADIANS(E34))</f>
        <v/>
      </c>
      <c r="J34" s="1">
        <f>C34*COS(RADIANS(E34))*COS(RADIANS(D34-180))</f>
        <v/>
      </c>
      <c r="K34" s="1">
        <f>SUM(K33+G34)</f>
        <v/>
      </c>
      <c r="L34" s="1">
        <f>SUM(L33+H34)</f>
        <v/>
      </c>
      <c r="M34" s="1">
        <f>SUM(M33+I34)</f>
        <v/>
      </c>
      <c r="N34" s="1">
        <f>SUM(J34+N33)</f>
        <v/>
      </c>
      <c r="O34" s="2">
        <f>ROUND(SUM(O33+F34),1)</f>
        <v/>
      </c>
    </row>
    <row r="35">
      <c r="A35" s="3" t="n"/>
      <c r="B35" s="3" t="n"/>
      <c r="C35" s="1" t="n"/>
      <c r="D35" s="4" t="n"/>
      <c r="E35" s="4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2" t="n"/>
    </row>
    <row r="36">
      <c r="A36" s="3" t="n"/>
      <c r="B36" s="3" t="inlineStr">
        <is>
          <t>2.10</t>
        </is>
      </c>
      <c r="C36" s="1" t="n"/>
      <c r="D36" s="4" t="n"/>
      <c r="E36" s="4" t="n"/>
      <c r="F36" s="1" t="n"/>
      <c r="G36" s="1" t="n"/>
      <c r="H36" s="1" t="n"/>
      <c r="I36" s="1" t="n"/>
      <c r="J36" s="1" t="n"/>
      <c r="K36" s="1" t="n">
        <v>0.9192533317427736</v>
      </c>
      <c r="L36" s="1" t="n">
        <v>-0.7713451316238467</v>
      </c>
      <c r="M36" s="1" t="n">
        <v>-9.800000000000001</v>
      </c>
      <c r="N36" s="1">
        <f>SUM(J36+N35)</f>
        <v/>
      </c>
      <c r="O36" s="2">
        <f>ROUND(SUM(O35+F36),1)</f>
        <v/>
      </c>
    </row>
    <row r="37">
      <c r="A37" s="3" t="inlineStr">
        <is>
          <t>2.10</t>
        </is>
      </c>
      <c r="B37" s="3" t="inlineStr">
        <is>
          <t>4</t>
        </is>
      </c>
      <c r="C37" s="1" t="n">
        <v>7</v>
      </c>
      <c r="D37" s="4" t="n">
        <v>140</v>
      </c>
      <c r="E37" s="4" t="n">
        <v>40</v>
      </c>
      <c r="F37" s="1">
        <f>C37*COS(RADIANS(E37))</f>
        <v/>
      </c>
      <c r="G37" s="1">
        <f>C37*COS(RADIANS(E37)) *SIN(RADIANS(D37))</f>
        <v/>
      </c>
      <c r="H37" s="1">
        <f>C37*COS(RADIANS(E37))*COS(RADIANS(D37))</f>
        <v/>
      </c>
      <c r="I37" s="1">
        <f>C37*SIN(RADIANS(E37))</f>
        <v/>
      </c>
      <c r="J37" s="1">
        <f>C37*COS(RADIANS(E37))*COS(RADIANS(D37-180))</f>
        <v/>
      </c>
      <c r="K37" s="1">
        <f>SUM(K36+G37)</f>
        <v/>
      </c>
      <c r="L37" s="1">
        <f>SUM(L36+H37)</f>
        <v/>
      </c>
      <c r="M37" s="1">
        <f>SUM(M36+I37)</f>
        <v/>
      </c>
      <c r="N37" s="1">
        <f>SUM(J37+N36)</f>
        <v/>
      </c>
      <c r="O37" s="2">
        <f>ROUND(SUM(O36+F37),1)</f>
        <v/>
      </c>
      <c r="P37" s="1" t="inlineStr">
        <is>
          <t>około</t>
        </is>
      </c>
    </row>
    <row r="38">
      <c r="A38" s="3" t="n"/>
      <c r="B38" s="3" t="n"/>
      <c r="C38" s="1" t="n"/>
      <c r="D38" s="4" t="n"/>
      <c r="E38" s="4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2" t="n"/>
    </row>
    <row r="39">
      <c r="A39" s="3" t="n"/>
      <c r="B39" s="3" t="inlineStr">
        <is>
          <t>5</t>
        </is>
      </c>
      <c r="C39" s="1" t="n"/>
      <c r="D39" s="4" t="n"/>
      <c r="E39" s="4" t="n"/>
      <c r="F39" s="1" t="n"/>
      <c r="G39" s="1" t="n"/>
      <c r="H39" s="1" t="n"/>
      <c r="I39" s="1" t="n"/>
      <c r="J39" s="1" t="n"/>
      <c r="K39" s="1" t="n">
        <v>4.579470971982378</v>
      </c>
      <c r="L39" s="1" t="n">
        <v>-5.581823129433555</v>
      </c>
      <c r="M39" s="1" t="n">
        <v>-12.91748231212342</v>
      </c>
      <c r="N39" s="1">
        <f>SUM(J39+N38)</f>
        <v/>
      </c>
      <c r="O39" s="2">
        <f>ROUND(SUM(O38+F39),1)</f>
        <v/>
      </c>
    </row>
    <row r="40">
      <c r="A40" s="3" t="inlineStr">
        <is>
          <t>5</t>
        </is>
      </c>
      <c r="B40" s="3" t="inlineStr">
        <is>
          <t>5.1</t>
        </is>
      </c>
      <c r="C40" s="1" t="n">
        <v>5.05</v>
      </c>
      <c r="D40" s="4" t="n">
        <v>323</v>
      </c>
      <c r="E40" s="4" t="n">
        <v>13</v>
      </c>
      <c r="F40" s="1">
        <f>C40*COS(RADIANS(E40))</f>
        <v/>
      </c>
      <c r="G40" s="1">
        <f>C40*COS(RADIANS(E40)) *SIN(RADIANS(D40))</f>
        <v/>
      </c>
      <c r="H40" s="1">
        <f>C40*COS(RADIANS(E40))*COS(RADIANS(D40))</f>
        <v/>
      </c>
      <c r="I40" s="1">
        <f>C40*SIN(RADIANS(E40))</f>
        <v/>
      </c>
      <c r="J40" s="1">
        <f>C40*COS(RADIANS(E40))*COS(RADIANS(D40-180))</f>
        <v/>
      </c>
      <c r="K40" s="1">
        <f>SUM(K39+G40)</f>
        <v/>
      </c>
      <c r="L40" s="1">
        <f>SUM(L39+H40)</f>
        <v/>
      </c>
      <c r="M40" s="1">
        <f>SUM(M39+I40)</f>
        <v/>
      </c>
      <c r="N40" s="1">
        <f>SUM(J40+N39)</f>
        <v/>
      </c>
      <c r="O40" s="2">
        <f>ROUND(SUM(O39+F40),1)</f>
        <v/>
      </c>
    </row>
    <row r="41">
      <c r="A41" s="3" t="n"/>
      <c r="B41" s="3" t="n"/>
      <c r="C41" s="1" t="n"/>
      <c r="D41" s="4" t="n"/>
      <c r="E41" s="4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2" t="n"/>
    </row>
    <row r="42">
      <c r="A42" s="3" t="n"/>
      <c r="B42" s="3" t="inlineStr">
        <is>
          <t>6</t>
        </is>
      </c>
      <c r="C42" s="1" t="n"/>
      <c r="D42" s="4" t="n"/>
      <c r="E42" s="4" t="n"/>
      <c r="F42" s="1" t="n"/>
      <c r="G42" s="1" t="n"/>
      <c r="H42" s="1" t="n"/>
      <c r="I42" s="1" t="n"/>
      <c r="J42" s="1" t="n"/>
      <c r="K42" s="1" t="n">
        <v>6.001815141116844</v>
      </c>
      <c r="L42" s="1" t="n">
        <v>-7.539511928517826</v>
      </c>
      <c r="M42" s="1" t="n">
        <v>-13.30074675147198</v>
      </c>
      <c r="N42" s="1">
        <f>SUM(J42+N41)</f>
        <v/>
      </c>
      <c r="O42" s="2">
        <f>ROUND(SUM(O41+F42),1)</f>
        <v/>
      </c>
    </row>
    <row r="43">
      <c r="A43" s="3" t="inlineStr">
        <is>
          <t>6</t>
        </is>
      </c>
      <c r="B43" s="3" t="inlineStr">
        <is>
          <t>6.1</t>
        </is>
      </c>
      <c r="C43" s="1" t="n">
        <v>2.76</v>
      </c>
      <c r="D43" s="4" t="n">
        <v>0</v>
      </c>
      <c r="E43" s="4" t="n">
        <v>-90</v>
      </c>
      <c r="F43" s="1">
        <f>C43*COS(RADIANS(E43))</f>
        <v/>
      </c>
      <c r="G43" s="1">
        <f>C43*COS(RADIANS(E43)) *SIN(RADIANS(D43))</f>
        <v/>
      </c>
      <c r="H43" s="1">
        <f>C43*COS(RADIANS(E43))*COS(RADIANS(D43))</f>
        <v/>
      </c>
      <c r="I43" s="1">
        <f>C43*SIN(RADIANS(E43))</f>
        <v/>
      </c>
      <c r="J43" s="1">
        <f>C43*COS(RADIANS(E43))*COS(RADIANS(D43-180))</f>
        <v/>
      </c>
      <c r="K43" s="1">
        <f>SUM(K42+G43)</f>
        <v/>
      </c>
      <c r="L43" s="1">
        <f>SUM(L42+H43)</f>
        <v/>
      </c>
      <c r="M43" s="1">
        <f>SUM(M42+I43)</f>
        <v/>
      </c>
      <c r="N43" s="1">
        <f>SUM(J43+N42)</f>
        <v/>
      </c>
      <c r="O43" s="2">
        <f>ROUND(SUM(O42+F43),1)</f>
        <v/>
      </c>
    </row>
    <row r="44">
      <c r="A44" s="3" t="inlineStr">
        <is>
          <t>6.1</t>
        </is>
      </c>
      <c r="B44" s="3" t="inlineStr">
        <is>
          <t>6.2</t>
        </is>
      </c>
      <c r="C44" s="1" t="n">
        <v>3.7</v>
      </c>
      <c r="D44" s="4" t="n">
        <v>310</v>
      </c>
      <c r="E44" s="4" t="n">
        <v>-25</v>
      </c>
      <c r="F44" s="1">
        <f>C44*COS(RADIANS(E44))</f>
        <v/>
      </c>
      <c r="G44" s="1">
        <f>C44*COS(RADIANS(E44)) *SIN(RADIANS(D44))</f>
        <v/>
      </c>
      <c r="H44" s="1">
        <f>C44*COS(RADIANS(E44))*COS(RADIANS(D44))</f>
        <v/>
      </c>
      <c r="I44" s="1">
        <f>C44*SIN(RADIANS(E44))</f>
        <v/>
      </c>
      <c r="J44" s="1">
        <f>C44*COS(RADIANS(E44))*COS(RADIANS(D44-180))</f>
        <v/>
      </c>
      <c r="K44" s="1">
        <f>SUM(K43+G44)</f>
        <v/>
      </c>
      <c r="L44" s="1">
        <f>SUM(L43+H44)</f>
        <v/>
      </c>
      <c r="M44" s="1">
        <f>SUM(M43+I44)</f>
        <v/>
      </c>
      <c r="N44" s="1">
        <f>SUM(J44+N43)</f>
        <v/>
      </c>
      <c r="O44" s="2">
        <f>ROUND(SUM(O43+F44),1)</f>
        <v/>
      </c>
    </row>
    <row r="45">
      <c r="A45" s="3" t="n"/>
      <c r="B45" s="3" t="n"/>
      <c r="C45" s="1" t="n"/>
      <c r="D45" s="4" t="n"/>
      <c r="E45" s="4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2" t="n"/>
    </row>
    <row r="46">
      <c r="A46" s="3" t="n"/>
      <c r="B46" s="3" t="inlineStr">
        <is>
          <t>7</t>
        </is>
      </c>
      <c r="C46" s="1" t="n"/>
      <c r="D46" s="4" t="n"/>
      <c r="E46" s="4" t="n"/>
      <c r="F46" s="1" t="n"/>
      <c r="G46" s="1" t="n"/>
      <c r="H46" s="1" t="n"/>
      <c r="I46" s="1" t="n"/>
      <c r="J46" s="1" t="n"/>
      <c r="K46" s="1" t="n">
        <v>7.873863726763919</v>
      </c>
      <c r="L46" s="1" t="n">
        <v>-9.285225476616395</v>
      </c>
      <c r="M46" s="1" t="n">
        <v>-13.98661722099366</v>
      </c>
      <c r="N46" s="1">
        <f>SUM(J46+N45)</f>
        <v/>
      </c>
      <c r="O46" s="2">
        <f>ROUND(SUM(O45+F46),1)</f>
        <v/>
      </c>
    </row>
    <row r="47">
      <c r="A47" s="3" t="inlineStr">
        <is>
          <t>7</t>
        </is>
      </c>
      <c r="B47" s="3" t="inlineStr">
        <is>
          <t>7.1</t>
        </is>
      </c>
      <c r="C47" s="1" t="n">
        <v>4.42</v>
      </c>
      <c r="D47" s="4" t="n">
        <v>130</v>
      </c>
      <c r="E47" s="4" t="n">
        <v>-50</v>
      </c>
      <c r="F47" s="1">
        <f>C47*COS(RADIANS(E47))</f>
        <v/>
      </c>
      <c r="G47" s="1">
        <f>C47*COS(RADIANS(E47)) *SIN(RADIANS(D47))</f>
        <v/>
      </c>
      <c r="H47" s="1">
        <f>C47*COS(RADIANS(E47))*COS(RADIANS(D47))</f>
        <v/>
      </c>
      <c r="I47" s="1">
        <f>C47*SIN(RADIANS(E47))</f>
        <v/>
      </c>
      <c r="J47" s="1">
        <f>C47*COS(RADIANS(E47))*COS(RADIANS(D47-180))</f>
        <v/>
      </c>
      <c r="K47" s="1">
        <f>SUM(K46+G47)</f>
        <v/>
      </c>
      <c r="L47" s="1">
        <f>SUM(L46+H47)</f>
        <v/>
      </c>
      <c r="M47" s="1">
        <f>SUM(M46+I47)</f>
        <v/>
      </c>
      <c r="N47" s="1">
        <f>SUM(J47+N46)</f>
        <v/>
      </c>
      <c r="O47" s="2">
        <f>ROUND(SUM(O46+F47),1)</f>
        <v/>
      </c>
    </row>
    <row r="48">
      <c r="A48" s="3" t="n"/>
      <c r="B48" s="3" t="n"/>
      <c r="C48" s="1" t="n"/>
      <c r="D48" s="4" t="n"/>
      <c r="E48" s="4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</row>
    <row r="49">
      <c r="A49" s="3" t="n"/>
      <c r="B49" s="3" t="inlineStr">
        <is>
          <t>10</t>
        </is>
      </c>
      <c r="C49" s="1" t="n"/>
      <c r="D49" s="4" t="n"/>
      <c r="E49" s="4" t="n"/>
      <c r="F49" s="1" t="n"/>
      <c r="G49" s="1" t="n"/>
      <c r="H49" s="1" t="n"/>
      <c r="I49" s="1" t="n"/>
      <c r="J49" s="1" t="n"/>
      <c r="K49" s="1" t="n">
        <v>12.71653870090652</v>
      </c>
      <c r="L49" s="1" t="n">
        <v>-14.68731060967052</v>
      </c>
      <c r="M49" s="1" t="n">
        <v>-13.7218845946188</v>
      </c>
      <c r="N49" s="1">
        <f>SUM(J49+N48)</f>
        <v/>
      </c>
      <c r="O49" s="2">
        <f>ROUND(SUM(O48+F49),1)</f>
        <v/>
      </c>
    </row>
    <row r="50">
      <c r="A50" s="3" t="inlineStr">
        <is>
          <t>10</t>
        </is>
      </c>
      <c r="B50" s="3" t="inlineStr">
        <is>
          <t>10.1</t>
        </is>
      </c>
      <c r="C50" s="1" t="n">
        <v>3.56</v>
      </c>
      <c r="D50" s="4" t="n">
        <v>0</v>
      </c>
      <c r="E50" s="4" t="n">
        <v>-90</v>
      </c>
      <c r="F50" s="1">
        <f>C50*COS(RADIANS(E50))</f>
        <v/>
      </c>
      <c r="G50" s="1">
        <f>C50*COS(RADIANS(E50)) *SIN(RADIANS(D50))</f>
        <v/>
      </c>
      <c r="H50" s="1">
        <f>C50*COS(RADIANS(E50))*COS(RADIANS(D50))</f>
        <v/>
      </c>
      <c r="I50" s="1">
        <f>C50*SIN(RADIANS(E50))</f>
        <v/>
      </c>
      <c r="J50" s="1">
        <f>C50*COS(RADIANS(E50))*COS(RADIANS(D50-180))</f>
        <v/>
      </c>
      <c r="K50" s="1">
        <f>SUM(K49+G50)</f>
        <v/>
      </c>
      <c r="L50" s="1">
        <f>SUM(L49+H50)</f>
        <v/>
      </c>
      <c r="M50" s="1">
        <f>SUM(M49+I50)</f>
        <v/>
      </c>
      <c r="N50" s="1">
        <f>SUM(J50+N49)</f>
        <v/>
      </c>
      <c r="O50" s="2">
        <f>ROUND(SUM(O49+F50),1)</f>
        <v/>
      </c>
    </row>
    <row r="51">
      <c r="A51" s="3" t="n"/>
      <c r="B51" s="3" t="n"/>
      <c r="C51" s="1" t="n"/>
      <c r="D51" s="4" t="n"/>
      <c r="E51" s="4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2" t="n"/>
    </row>
    <row r="52">
      <c r="A52" s="3" t="n"/>
      <c r="B52" s="3" t="n"/>
      <c r="C52" s="1" t="n">
        <v>15</v>
      </c>
      <c r="D52" s="4" t="n">
        <v>130</v>
      </c>
      <c r="E52" s="4" t="n">
        <v>0</v>
      </c>
      <c r="F52" s="1">
        <f>C52*COS(RADIANS(E52))</f>
        <v/>
      </c>
      <c r="G52" s="1">
        <f>C52*COS(RADIANS(E52)) *SIN(RADIANS(D52))</f>
        <v/>
      </c>
      <c r="H52" s="1">
        <f>C52*COS(RADIANS(E52))*COS(RADIANS(D52))</f>
        <v/>
      </c>
      <c r="I52" s="1">
        <f>C52*SIN(RADIANS(E52))</f>
        <v/>
      </c>
      <c r="J52" s="1">
        <f>C52*COS(RADIANS(E52))*COS(RADIANS(D52-180))</f>
        <v/>
      </c>
      <c r="K52" s="1">
        <f>SUM(K51+G52)</f>
        <v/>
      </c>
      <c r="L52" s="1">
        <f>SUM(L51+H52)</f>
        <v/>
      </c>
      <c r="M52" s="1">
        <f>SUM(M51+I52)</f>
        <v/>
      </c>
      <c r="N52" s="1">
        <f>SUM(J52+N51)</f>
        <v/>
      </c>
      <c r="O52" s="2">
        <f>ROUND(SUM(O51+F52),1)</f>
        <v/>
      </c>
      <c r="P52" s="1" t="inlineStr">
        <is>
          <t>trawers za otworem</t>
        </is>
      </c>
    </row>
    <row r="53">
      <c r="A53" s="3" t="n"/>
      <c r="B53" s="3" t="n"/>
      <c r="C53" s="1" t="n"/>
      <c r="D53" s="4" t="n"/>
      <c r="E53" s="4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2" t="n"/>
    </row>
    <row r="54">
      <c r="A54" s="3" t="n"/>
      <c r="B54" s="3" t="n"/>
      <c r="C54" s="1" t="n">
        <v>10</v>
      </c>
      <c r="D54" s="4" t="n">
        <v>130</v>
      </c>
      <c r="E54" s="4" t="n">
        <v>0</v>
      </c>
      <c r="F54" s="1">
        <f>C54*COS(RADIANS(E54))</f>
        <v/>
      </c>
      <c r="G54" s="1">
        <f>C54*COS(RADIANS(E54)) *SIN(RADIANS(D54))</f>
        <v/>
      </c>
      <c r="H54" s="1">
        <f>C54*COS(RADIANS(E54))*COS(RADIANS(D54))</f>
        <v/>
      </c>
      <c r="I54" s="1">
        <f>C54*SIN(RADIANS(E54))</f>
        <v/>
      </c>
      <c r="J54" s="1">
        <f>C54*COS(RADIANS(E54))*COS(RADIANS(D54-180))</f>
        <v/>
      </c>
      <c r="K54" s="1">
        <f>SUM(K53+G54)</f>
        <v/>
      </c>
      <c r="L54" s="1">
        <f>SUM(L53+H54)</f>
        <v/>
      </c>
      <c r="M54" s="1">
        <f>SUM(M53+I54)</f>
        <v/>
      </c>
      <c r="N54" s="1">
        <f>SUM(J54+N53)</f>
        <v/>
      </c>
      <c r="O54" s="2">
        <f>ROUND(SUM(O53+F54),1)</f>
        <v/>
      </c>
      <c r="P54" s="1" t="inlineStr">
        <is>
          <t>ciąg poniżej pkt 15-18</t>
        </is>
      </c>
    </row>
    <row r="55">
      <c r="A55" s="3" t="n"/>
      <c r="B55" s="3" t="n"/>
      <c r="C55" s="1" t="n"/>
      <c r="D55" s="4" t="n"/>
      <c r="E55" s="4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2" t="n"/>
    </row>
    <row r="56">
      <c r="A56" s="3" t="n"/>
      <c r="B56" s="3" t="n"/>
      <c r="C56" s="1" t="n">
        <v>5</v>
      </c>
      <c r="D56" s="4" t="n">
        <v>310</v>
      </c>
      <c r="E56" s="4" t="n">
        <v>0</v>
      </c>
      <c r="F56" s="1">
        <f>C56*COS(RADIANS(E56))</f>
        <v/>
      </c>
      <c r="G56" s="1">
        <f>C56*COS(RADIANS(E56)) *SIN(RADIANS(D56))</f>
        <v/>
      </c>
      <c r="H56" s="1">
        <f>C56*COS(RADIANS(E56))*COS(RADIANS(D56))</f>
        <v/>
      </c>
      <c r="I56" s="1">
        <f>C56*SIN(RADIANS(E56))</f>
        <v/>
      </c>
      <c r="J56" s="1">
        <f>C56*COS(RADIANS(E56))*COS(RADIANS(D56-180))</f>
        <v/>
      </c>
      <c r="K56" s="1">
        <f>SUM(K55+G56)</f>
        <v/>
      </c>
      <c r="L56" s="1">
        <f>SUM(L55+H56)</f>
        <v/>
      </c>
      <c r="M56" s="1">
        <f>SUM(M55+I56)</f>
        <v/>
      </c>
      <c r="N56" s="1">
        <f>SUM(J56+N55)</f>
        <v/>
      </c>
      <c r="O56" s="2">
        <f>ROUND(SUM(O55+F56),1)</f>
        <v/>
      </c>
      <c r="P56" s="1" t="inlineStr">
        <is>
          <t>półka wstecz od pkt 16</t>
        </is>
      </c>
    </row>
    <row r="57">
      <c r="A57" s="3" t="n"/>
      <c r="B57" s="3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2" t="n"/>
    </row>
    <row r="58">
      <c r="A58" s="3" t="n"/>
      <c r="B58" s="3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2" t="n"/>
    </row>
    <row r="59">
      <c r="A59" s="3" t="n"/>
      <c r="B59" s="3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2" t="n"/>
    </row>
    <row r="60">
      <c r="A60" s="3" t="n"/>
      <c r="B60" s="3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2" t="n"/>
    </row>
    <row r="61">
      <c r="A61" s="3" t="n"/>
      <c r="B61" s="3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2" t="n"/>
    </row>
    <row r="62">
      <c r="A62" s="3" t="n"/>
      <c r="B62" s="3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2" t="n"/>
    </row>
    <row r="63">
      <c r="A63" s="3" t="n"/>
      <c r="B63" s="3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2" t="n"/>
    </row>
    <row r="64">
      <c r="A64" s="3" t="n"/>
      <c r="B64" s="3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2" t="n"/>
    </row>
    <row r="65">
      <c r="A65" s="3" t="n"/>
      <c r="B65" s="3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2" t="n"/>
    </row>
    <row r="66">
      <c r="A66" s="3" t="n"/>
      <c r="B66" s="3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2" t="n"/>
    </row>
    <row r="67">
      <c r="A67" s="3" t="n"/>
      <c r="B67" s="3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2" t="n"/>
    </row>
    <row r="68">
      <c r="A68" s="3" t="n"/>
      <c r="B68" s="3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2" t="n"/>
    </row>
    <row r="69">
      <c r="A69" s="3" t="n"/>
      <c r="B69" s="3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2" t="n"/>
    </row>
    <row r="70">
      <c r="A70" s="3" t="n"/>
      <c r="B70" s="3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2" t="n"/>
    </row>
    <row r="71">
      <c r="A71" s="3" t="n"/>
      <c r="B71" s="3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2" t="n"/>
    </row>
    <row r="72">
      <c r="A72" s="3" t="n"/>
      <c r="B72" s="3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2" t="n"/>
    </row>
    <row r="73">
      <c r="A73" s="3" t="n"/>
      <c r="B73" s="3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2" t="n"/>
    </row>
    <row r="74">
      <c r="A74" s="3" t="n"/>
      <c r="B74" s="3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2" t="n"/>
    </row>
    <row r="75">
      <c r="A75" s="3" t="n"/>
      <c r="B75" s="3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2" t="n"/>
    </row>
    <row r="76">
      <c r="A76" s="3" t="n"/>
      <c r="B76" s="3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2" t="n"/>
    </row>
    <row r="77">
      <c r="A77" s="3" t="n"/>
      <c r="B77" s="3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2" t="n"/>
    </row>
    <row r="78">
      <c r="A78" s="3" t="n"/>
      <c r="B78" s="3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2" t="n"/>
    </row>
    <row r="79">
      <c r="A79" s="3" t="n"/>
      <c r="B79" s="3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2" t="n"/>
    </row>
    <row r="80">
      <c r="A80" s="3" t="n"/>
      <c r="B80" s="3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2" t="n"/>
    </row>
    <row r="81">
      <c r="A81" s="3" t="n"/>
      <c r="B81" s="3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2" t="n"/>
    </row>
    <row r="82">
      <c r="A82" s="3" t="n"/>
      <c r="B82" s="3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2" t="n"/>
    </row>
    <row r="83">
      <c r="A83" s="3" t="n"/>
      <c r="B83" s="3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2" t="n"/>
    </row>
    <row r="84">
      <c r="A84" s="3" t="n"/>
      <c r="B84" s="3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2" t="n"/>
    </row>
    <row r="85">
      <c r="A85" s="3" t="n"/>
      <c r="B85" s="3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2" t="n"/>
    </row>
    <row r="86">
      <c r="A86" s="3" t="n"/>
      <c r="B86" s="3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2" t="n"/>
    </row>
    <row r="87">
      <c r="A87" s="3" t="n"/>
      <c r="B87" s="3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2" t="n"/>
    </row>
    <row r="88">
      <c r="A88" s="3" t="n"/>
      <c r="B88" s="3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2" t="n"/>
    </row>
    <row r="89">
      <c r="A89" s="3" t="n"/>
      <c r="B89" s="3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2" t="n"/>
    </row>
    <row r="90">
      <c r="A90" s="3" t="n"/>
      <c r="B90" s="3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2" t="n"/>
    </row>
    <row r="91">
      <c r="A91" s="3" t="n"/>
      <c r="B91" s="3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2" t="n"/>
    </row>
    <row r="92">
      <c r="A92" s="3" t="n"/>
      <c r="B92" s="3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2" t="n"/>
    </row>
    <row r="93">
      <c r="A93" s="3" t="n"/>
      <c r="B93" s="3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2" t="n"/>
    </row>
    <row r="94">
      <c r="A94" s="3" t="n"/>
      <c r="B94" s="3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2" t="n"/>
    </row>
    <row r="95">
      <c r="A95" s="3" t="n"/>
      <c r="B95" s="3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2" t="n"/>
    </row>
    <row r="96">
      <c r="A96" s="3" t="n"/>
      <c r="B96" s="3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2" t="n"/>
    </row>
    <row r="97">
      <c r="A97" s="3" t="n"/>
      <c r="B97" s="3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2" t="n"/>
    </row>
    <row r="98">
      <c r="A98" s="3" t="n"/>
      <c r="B98" s="3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2" t="n"/>
    </row>
    <row r="99">
      <c r="A99" s="3" t="n"/>
      <c r="B99" s="3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2" t="n"/>
    </row>
    <row r="100">
      <c r="A100" s="3" t="n"/>
      <c r="B100" s="3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2026-03-07T14:30:59Z</dcterms:created>
  <dcterms:modified xmlns:dcterms="http://purl.org/dc/terms/" xmlns:xsi="http://www.w3.org/2001/XMLSchema-instance" xsi:type="dcterms:W3CDTF">2026-03-07T14:30:59Z</dcterms:modified>
</cp:coreProperties>
</file>