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ienne Mle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SUM(C3:C10002)</f>
        <v/>
      </c>
      <c r="Q2" s="2">
        <f>ROUND(MIN(M2:M10002),1)</f>
        <v/>
      </c>
      <c r="R2" s="2">
        <f>ROUND(MAX(M2:M10002),1)</f>
        <v/>
      </c>
      <c r="S2" s="2">
        <f>ABS((R2)-(Q2))</f>
        <v/>
      </c>
      <c r="T2">
        <f>ROUND(ABS(MAX(K2:K10002)-MIN(K2:K10002)),1)</f>
        <v/>
      </c>
      <c r="U2">
        <f>ROUND(ABS(MAX(L2:L10002)-MIN(L2:L10002)),1)</f>
        <v/>
      </c>
    </row>
    <row r="3">
      <c r="A3" s="3" t="inlineStr">
        <is>
          <t>0</t>
        </is>
      </c>
      <c r="B3" s="3" t="inlineStr">
        <is>
          <t>0'</t>
        </is>
      </c>
      <c r="C3" s="1" t="n">
        <v>6.56</v>
      </c>
      <c r="D3" s="4" t="n">
        <v>242</v>
      </c>
      <c r="E3" s="4" t="n">
        <v>0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n"/>
      <c r="B4" s="3" t="n"/>
      <c r="C4" s="1" t="n"/>
      <c r="D4" s="4" t="n"/>
      <c r="E4" s="4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2" t="n"/>
      <c r="Q4" s="4" t="n"/>
    </row>
    <row r="5">
      <c r="A5" s="3" t="inlineStr">
        <is>
          <t>0</t>
        </is>
      </c>
      <c r="B5" s="3" t="inlineStr">
        <is>
          <t>0''</t>
        </is>
      </c>
      <c r="C5" s="1" t="n">
        <v>7</v>
      </c>
      <c r="D5" s="4" t="n">
        <v>273</v>
      </c>
      <c r="E5" s="4" t="n">
        <v>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n"/>
      <c r="B6" s="3" t="n"/>
      <c r="C6" s="1" t="n"/>
      <c r="D6" s="4" t="n"/>
      <c r="E6" s="4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2" t="n"/>
      <c r="Q6" s="4" t="n"/>
    </row>
    <row r="7">
      <c r="A7" s="3" t="inlineStr">
        <is>
          <t>0</t>
        </is>
      </c>
      <c r="B7" s="3" t="inlineStr">
        <is>
          <t>0'''</t>
        </is>
      </c>
      <c r="C7" s="1" t="n">
        <v>3.2</v>
      </c>
      <c r="D7" s="4" t="n">
        <v>81</v>
      </c>
      <c r="E7" s="4" t="n">
        <v>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n"/>
      <c r="B8" s="3" t="n"/>
      <c r="C8" s="1" t="n"/>
      <c r="D8" s="4" t="n"/>
      <c r="E8" s="4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2" t="n"/>
      <c r="Q8" s="4" t="n"/>
    </row>
    <row r="9">
      <c r="A9" s="3" t="inlineStr">
        <is>
          <t>0</t>
        </is>
      </c>
      <c r="B9" s="3" t="inlineStr">
        <is>
          <t>1</t>
        </is>
      </c>
      <c r="C9" s="1" t="n">
        <v>1.11</v>
      </c>
      <c r="D9" s="4" t="n">
        <v>41</v>
      </c>
      <c r="E9" s="4" t="n">
        <v>-15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1</t>
        </is>
      </c>
      <c r="B10" s="3" t="inlineStr">
        <is>
          <t>2</t>
        </is>
      </c>
      <c r="C10" s="1" t="n">
        <v>6.6</v>
      </c>
      <c r="D10" s="4" t="n">
        <v>305</v>
      </c>
      <c r="E10" s="4" t="n">
        <v>0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2</t>
        </is>
      </c>
      <c r="B11" s="3" t="inlineStr">
        <is>
          <t>3</t>
        </is>
      </c>
      <c r="C11" s="1" t="n">
        <v>2.7</v>
      </c>
      <c r="D11" s="4" t="n">
        <v>334</v>
      </c>
      <c r="E11" s="4" t="n">
        <v>0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Q11" s="4" t="n"/>
    </row>
    <row r="12">
      <c r="A12" s="3" t="inlineStr">
        <is>
          <t>3</t>
        </is>
      </c>
      <c r="B12" s="3" t="inlineStr">
        <is>
          <t>4</t>
        </is>
      </c>
      <c r="C12" s="1" t="n">
        <v>4.45</v>
      </c>
      <c r="D12" s="4" t="n">
        <v>327</v>
      </c>
      <c r="E12" s="4" t="n">
        <v>12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>
        <f>SUM(K11+G12)</f>
        <v/>
      </c>
      <c r="L12" s="1">
        <f>SUM(L11+H12)</f>
        <v/>
      </c>
      <c r="M12" s="1">
        <f>SUM(M11+I12)</f>
        <v/>
      </c>
      <c r="N12" s="1">
        <f>SUM(J12+N11)</f>
        <v/>
      </c>
      <c r="O12" s="2">
        <f>ROUND(SUM(O11+F12),1)</f>
        <v/>
      </c>
      <c r="P12" t="inlineStr">
        <is>
          <t>ok.. 10 m dolnego wariantu</t>
        </is>
      </c>
      <c r="Q12" s="4" t="n"/>
    </row>
    <row r="13">
      <c r="A13" s="3" t="inlineStr">
        <is>
          <t>4</t>
        </is>
      </c>
      <c r="B13" s="3" t="inlineStr">
        <is>
          <t>5</t>
        </is>
      </c>
      <c r="C13" s="1" t="n">
        <v>4.1</v>
      </c>
      <c r="D13" s="4" t="n">
        <v>38</v>
      </c>
      <c r="E13" s="4" t="n">
        <v>29</v>
      </c>
      <c r="F13" s="1">
        <f>C13*COS(RADIANS(E13))</f>
        <v/>
      </c>
      <c r="G13" s="1">
        <f>C13*COS(RADIANS(E13)) *SIN(RADIANS(D13))</f>
        <v/>
      </c>
      <c r="H13" s="1">
        <f>C13*COS(RADIANS(E13))*COS(RADIANS(D13))</f>
        <v/>
      </c>
      <c r="I13" s="1">
        <f>C13*SIN(RADIANS(E13))</f>
        <v/>
      </c>
      <c r="J13" s="1">
        <f>C13*COS(RADIANS(E13))*COS(RADIANS(D13-180))</f>
        <v/>
      </c>
      <c r="K13" s="1">
        <f>SUM(K12+G13)</f>
        <v/>
      </c>
      <c r="L13" s="1">
        <f>SUM(L12+H13)</f>
        <v/>
      </c>
      <c r="M13" s="1">
        <f>SUM(M12+I13)</f>
        <v/>
      </c>
      <c r="N13" s="1">
        <f>SUM(J13+N12)</f>
        <v/>
      </c>
      <c r="O13" s="2">
        <f>ROUND(SUM(O12+F13),1)</f>
        <v/>
      </c>
    </row>
    <row r="14">
      <c r="A14" s="3" t="inlineStr">
        <is>
          <t>5</t>
        </is>
      </c>
      <c r="B14" s="3" t="inlineStr">
        <is>
          <t>6</t>
        </is>
      </c>
      <c r="C14" s="1" t="n">
        <v>2.03</v>
      </c>
      <c r="D14" s="4" t="n">
        <v>62</v>
      </c>
      <c r="E14" s="4" t="n">
        <v>-4</v>
      </c>
      <c r="F14" s="1">
        <f>C14*COS(RADIANS(E14))</f>
        <v/>
      </c>
      <c r="G14" s="1">
        <f>C14*COS(RADIANS(E14)) *SIN(RADIANS(D14))</f>
        <v/>
      </c>
      <c r="H14" s="1">
        <f>C14*COS(RADIANS(E14))*COS(RADIANS(D14))</f>
        <v/>
      </c>
      <c r="I14" s="1">
        <f>C14*SIN(RADIANS(E14))</f>
        <v/>
      </c>
      <c r="J14" s="1">
        <f>C14*COS(RADIANS(E14))*COS(RADIANS(D14-180))</f>
        <v/>
      </c>
      <c r="K14" s="1">
        <f>SUM(K13+G14)</f>
        <v/>
      </c>
      <c r="L14" s="1">
        <f>SUM(L13+H14)</f>
        <v/>
      </c>
      <c r="M14" s="1">
        <f>SUM(M13+I14)</f>
        <v/>
      </c>
      <c r="N14" s="1">
        <f>SUM(J14+N13)</f>
        <v/>
      </c>
      <c r="O14" s="2">
        <f>ROUND(SUM(O13+F14),1)</f>
        <v/>
      </c>
    </row>
    <row r="15">
      <c r="A15" s="3" t="inlineStr">
        <is>
          <t>6</t>
        </is>
      </c>
      <c r="B15" s="3" t="inlineStr">
        <is>
          <t>7</t>
        </is>
      </c>
      <c r="C15" s="1" t="n">
        <v>2.88</v>
      </c>
      <c r="D15" s="4" t="n">
        <v>0</v>
      </c>
      <c r="E15" s="4" t="n">
        <v>-6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>
        <f>SUM(K14+G15)</f>
        <v/>
      </c>
      <c r="L15" s="1">
        <f>SUM(L14+H15)</f>
        <v/>
      </c>
      <c r="M15" s="1">
        <f>SUM(M14+I15)</f>
        <v/>
      </c>
      <c r="N15" s="1">
        <f>SUM(J15+N14)</f>
        <v/>
      </c>
      <c r="O15" s="2">
        <f>ROUND(SUM(O14+F15),1)</f>
        <v/>
      </c>
    </row>
    <row r="16">
      <c r="A16" s="3" t="inlineStr">
        <is>
          <t>7</t>
        </is>
      </c>
      <c r="B16" s="3" t="inlineStr">
        <is>
          <t>8</t>
        </is>
      </c>
      <c r="C16" s="1" t="n">
        <v>4.9</v>
      </c>
      <c r="D16" s="4" t="n">
        <v>20</v>
      </c>
      <c r="E16" s="4" t="n">
        <v>-45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  <c r="P16" t="inlineStr">
        <is>
          <t>3 m w lewo i wstecz</t>
        </is>
      </c>
    </row>
    <row r="17">
      <c r="A17" s="3" t="inlineStr">
        <is>
          <t>8</t>
        </is>
      </c>
      <c r="B17" s="3" t="inlineStr">
        <is>
          <t>8.1</t>
        </is>
      </c>
      <c r="C17" s="1" t="n">
        <v>4.2</v>
      </c>
      <c r="D17" s="4" t="n">
        <v>126</v>
      </c>
      <c r="E17" s="4" t="n">
        <v>0</v>
      </c>
      <c r="F17" s="1">
        <f>C17*COS(RADIANS(E17))</f>
        <v/>
      </c>
      <c r="G17" s="1">
        <f>C17*COS(RADIANS(E17)) *SIN(RADIANS(D17))</f>
        <v/>
      </c>
      <c r="H17" s="1">
        <f>C17*COS(RADIANS(E17))*COS(RADIANS(D17))</f>
        <v/>
      </c>
      <c r="I17" s="1">
        <f>C17*SIN(RADIANS(E17))</f>
        <v/>
      </c>
      <c r="J17" s="1">
        <f>C17*COS(RADIANS(E17))*COS(RADIANS(D17-180))</f>
        <v/>
      </c>
      <c r="K17" s="1">
        <f>SUM(K16+G17)</f>
        <v/>
      </c>
      <c r="L17" s="1">
        <f>SUM(L16+H17)</f>
        <v/>
      </c>
      <c r="M17" s="1">
        <f>SUM(M16+I17)</f>
        <v/>
      </c>
      <c r="N17" s="1">
        <f>SUM(J17+N16)</f>
        <v/>
      </c>
      <c r="O17" s="2">
        <f>ROUND(SUM(O16+F17),1)</f>
        <v/>
      </c>
    </row>
    <row r="18">
      <c r="A18" s="3" t="inlineStr">
        <is>
          <t>8.1</t>
        </is>
      </c>
      <c r="B18" s="3" t="inlineStr">
        <is>
          <t>8.2</t>
        </is>
      </c>
      <c r="C18" s="1" t="n">
        <v>1.03</v>
      </c>
      <c r="D18" s="4" t="n">
        <v>145</v>
      </c>
      <c r="E18" s="4" t="n">
        <v>0</v>
      </c>
      <c r="F18" s="1">
        <f>C18*COS(RADIANS(E18))</f>
        <v/>
      </c>
      <c r="G18" s="1">
        <f>C18*COS(RADIANS(E18)) *SIN(RADIANS(D18))</f>
        <v/>
      </c>
      <c r="H18" s="1">
        <f>C18*COS(RADIANS(E18))*COS(RADIANS(D18))</f>
        <v/>
      </c>
      <c r="I18" s="1">
        <f>C18*SIN(RADIANS(E18))</f>
        <v/>
      </c>
      <c r="J18" s="1">
        <f>C18*COS(RADIANS(E18))*COS(RADIANS(D18-180))</f>
        <v/>
      </c>
      <c r="K18" s="1">
        <f>SUM(K17+G18)</f>
        <v/>
      </c>
      <c r="L18" s="1">
        <f>SUM(L17+H18)</f>
        <v/>
      </c>
      <c r="M18" s="1">
        <f>SUM(M17+I18)</f>
        <v/>
      </c>
      <c r="N18" s="1">
        <f>SUM(J18+N17)</f>
        <v/>
      </c>
      <c r="O18" s="2">
        <f>ROUND(SUM(O17+F18),1)</f>
        <v/>
      </c>
    </row>
    <row r="19">
      <c r="A19" s="3" t="inlineStr">
        <is>
          <t>8.2</t>
        </is>
      </c>
      <c r="B19" s="3" t="inlineStr">
        <is>
          <t>8.3</t>
        </is>
      </c>
      <c r="C19" s="1" t="n">
        <v>4.87</v>
      </c>
      <c r="D19" s="4" t="n">
        <v>170</v>
      </c>
      <c r="E19" s="4" t="n">
        <v>-5</v>
      </c>
      <c r="F19" s="1">
        <f>C19*COS(RADIANS(E19))</f>
        <v/>
      </c>
      <c r="G19" s="1">
        <f>C19*COS(RADIANS(E19)) *SIN(RADIANS(D19))</f>
        <v/>
      </c>
      <c r="H19" s="1">
        <f>C19*COS(RADIANS(E19))*COS(RADIANS(D19))</f>
        <v/>
      </c>
      <c r="I19" s="1">
        <f>C19*SIN(RADIANS(E19))</f>
        <v/>
      </c>
      <c r="J19" s="1">
        <f>C19*COS(RADIANS(E19))*COS(RADIANS(D19-180))</f>
        <v/>
      </c>
      <c r="K19" s="1">
        <f>SUM(K18+G19)</f>
        <v/>
      </c>
      <c r="L19" s="1">
        <f>SUM(L18+H19)</f>
        <v/>
      </c>
      <c r="M19" s="1">
        <f>SUM(M18+I19)</f>
        <v/>
      </c>
      <c r="N19" s="1">
        <f>SUM(J19+N18)</f>
        <v/>
      </c>
      <c r="O19" s="2">
        <f>ROUND(SUM(O18+F19),1)</f>
        <v/>
      </c>
    </row>
    <row r="20">
      <c r="A20" s="3" t="inlineStr">
        <is>
          <t>8.3</t>
        </is>
      </c>
      <c r="B20" s="3" t="inlineStr">
        <is>
          <t>8.4</t>
        </is>
      </c>
      <c r="C20" s="1" t="n">
        <v>5.28</v>
      </c>
      <c r="D20" s="4" t="n">
        <v>185</v>
      </c>
      <c r="E20" s="4" t="n">
        <v>-2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</row>
    <row r="21">
      <c r="A21" s="3" t="inlineStr">
        <is>
          <t>8.4</t>
        </is>
      </c>
      <c r="B21" s="3" t="inlineStr">
        <is>
          <t>8.5</t>
        </is>
      </c>
      <c r="C21" s="1" t="n">
        <v>2.5</v>
      </c>
      <c r="D21" s="4" t="n">
        <v>134</v>
      </c>
      <c r="E21" s="4" t="n">
        <v>-10</v>
      </c>
      <c r="F21" s="1">
        <f>C21*COS(RADIANS(E21))</f>
        <v/>
      </c>
      <c r="G21" s="1">
        <f>C21*COS(RADIANS(E21)) *SIN(RADIANS(D21))</f>
        <v/>
      </c>
      <c r="H21" s="1">
        <f>C21*COS(RADIANS(E21))*COS(RADIANS(D21))</f>
        <v/>
      </c>
      <c r="I21" s="1">
        <f>C21*SIN(RADIANS(E21))</f>
        <v/>
      </c>
      <c r="J21" s="1">
        <f>C21*COS(RADIANS(E21))*COS(RADIANS(D21-180))</f>
        <v/>
      </c>
      <c r="K21" s="1">
        <f>SUM(K20+G21)</f>
        <v/>
      </c>
      <c r="L21" s="1">
        <f>SUM(L20+H21)</f>
        <v/>
      </c>
      <c r="M21" s="1">
        <f>SUM(M20+I21)</f>
        <v/>
      </c>
      <c r="N21" s="1">
        <f>SUM(J21+N20)</f>
        <v/>
      </c>
      <c r="O21" s="2">
        <f>ROUND(SUM(O20+F21),1)</f>
        <v/>
      </c>
    </row>
    <row r="22">
      <c r="A22" s="3" t="inlineStr">
        <is>
          <t>8.5</t>
        </is>
      </c>
      <c r="B22" s="3" t="inlineStr">
        <is>
          <t>8.6</t>
        </is>
      </c>
      <c r="C22" s="1" t="n">
        <v>2.72</v>
      </c>
      <c r="D22" s="4" t="n">
        <v>183</v>
      </c>
      <c r="E22" s="4" t="n">
        <v>11</v>
      </c>
      <c r="F22" s="1">
        <f>C22*COS(RADIANS(E22))</f>
        <v/>
      </c>
      <c r="G22" s="1">
        <f>C22*COS(RADIANS(E22)) *SIN(RADIANS(D22))</f>
        <v/>
      </c>
      <c r="H22" s="1">
        <f>C22*COS(RADIANS(E22))*COS(RADIANS(D22))</f>
        <v/>
      </c>
      <c r="I22" s="1">
        <f>C22*SIN(RADIANS(E22))</f>
        <v/>
      </c>
      <c r="J22" s="1">
        <f>C22*COS(RADIANS(E22))*COS(RADIANS(D22-180))</f>
        <v/>
      </c>
      <c r="K22" s="1">
        <f>SUM(K21+G22)</f>
        <v/>
      </c>
      <c r="L22" s="1">
        <f>SUM(L21+H22)</f>
        <v/>
      </c>
      <c r="M22" s="1">
        <f>SUM(M21+I22)</f>
        <v/>
      </c>
      <c r="N22" s="1">
        <f>SUM(J22+N21)</f>
        <v/>
      </c>
      <c r="O22" s="2">
        <f>ROUND(SUM(O21+F22),1)</f>
        <v/>
      </c>
    </row>
    <row r="23">
      <c r="A23" s="3" t="inlineStr">
        <is>
          <t>8.6</t>
        </is>
      </c>
      <c r="B23" s="3" t="inlineStr">
        <is>
          <t>1</t>
        </is>
      </c>
      <c r="C23" s="1" t="n">
        <v>3.05</v>
      </c>
      <c r="D23" s="4" t="n">
        <v>223</v>
      </c>
      <c r="E23" s="4" t="n">
        <v>33</v>
      </c>
      <c r="F23" s="1">
        <f>C23*COS(RADIANS(E23))</f>
        <v/>
      </c>
      <c r="G23" s="1">
        <f>C23*COS(RADIANS(E23)) *SIN(RADIANS(D23))</f>
        <v/>
      </c>
      <c r="H23" s="1">
        <f>C23*COS(RADIANS(E23))*COS(RADIANS(D23))</f>
        <v/>
      </c>
      <c r="I23" s="1">
        <f>C23*SIN(RADIANS(E23))</f>
        <v/>
      </c>
      <c r="J23" s="1">
        <f>C23*COS(RADIANS(E23))*COS(RADIANS(D23-180))</f>
        <v/>
      </c>
      <c r="K23" s="1">
        <f>SUM(K22+G23)</f>
        <v/>
      </c>
      <c r="L23" s="1">
        <f>SUM(L22+H23)</f>
        <v/>
      </c>
      <c r="M23" s="1">
        <f>SUM(M22+I23)</f>
        <v/>
      </c>
      <c r="N23" s="1">
        <f>SUM(J23+N22)</f>
        <v/>
      </c>
      <c r="O23" s="2">
        <f>ROUND(SUM(O22+F23),1)</f>
        <v/>
      </c>
    </row>
    <row r="24">
      <c r="A24" s="3" t="n"/>
      <c r="B24" s="3" t="n"/>
      <c r="C24" s="1" t="n"/>
      <c r="D24" s="4" t="n"/>
      <c r="E24" s="4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inlineStr">
        <is>
          <t>8.2</t>
        </is>
      </c>
      <c r="C25" s="1" t="n"/>
      <c r="D25" s="4" t="n"/>
      <c r="E25" s="4" t="n"/>
      <c r="F25" s="1" t="n"/>
      <c r="G25" s="1" t="n"/>
      <c r="H25" s="1" t="n"/>
      <c r="I25" s="1" t="n"/>
      <c r="J25" s="1" t="n"/>
      <c r="K25" s="1" t="n">
        <v>0.912162477527194</v>
      </c>
      <c r="L25" s="1" t="n">
        <v>17.25619306960407</v>
      </c>
      <c r="M25" s="1" t="n">
        <v>-1.281833516640286</v>
      </c>
      <c r="N25" s="1">
        <f>SUM(J25+N24)</f>
        <v/>
      </c>
      <c r="O25" s="2">
        <f>ROUND(SUM(O24+F25),1)</f>
        <v/>
      </c>
    </row>
    <row r="26">
      <c r="A26" s="3" t="inlineStr">
        <is>
          <t>8.2</t>
        </is>
      </c>
      <c r="B26" s="3" t="inlineStr">
        <is>
          <t>8.2.1</t>
        </is>
      </c>
      <c r="C26" s="1" t="n">
        <v>4.54</v>
      </c>
      <c r="D26" s="4" t="n">
        <v>240</v>
      </c>
      <c r="E26" s="4" t="n">
        <v>8</v>
      </c>
      <c r="F26" s="1">
        <f>C26*COS(RADIANS(E26))</f>
        <v/>
      </c>
      <c r="G26" s="1">
        <f>C26*COS(RADIANS(E26)) *SIN(RADIANS(D26))</f>
        <v/>
      </c>
      <c r="H26" s="1">
        <f>C26*COS(RADIANS(E26))*COS(RADIANS(D26))</f>
        <v/>
      </c>
      <c r="I26" s="1">
        <f>C26*SIN(RADIANS(E26))</f>
        <v/>
      </c>
      <c r="J26" s="1">
        <f>C26*COS(RADIANS(E26))*COS(RADIANS(D26-180))</f>
        <v/>
      </c>
      <c r="K26" s="1">
        <f>SUM(K25+G26)</f>
        <v/>
      </c>
      <c r="L26" s="1">
        <f>SUM(L25+H26)</f>
        <v/>
      </c>
      <c r="M26" s="1">
        <f>SUM(M25+I26)</f>
        <v/>
      </c>
      <c r="N26" s="1">
        <f>SUM(J26+N25)</f>
        <v/>
      </c>
      <c r="O26" s="2">
        <f>ROUND(SUM(O25+F26),1)</f>
        <v/>
      </c>
    </row>
    <row r="27">
      <c r="A27" s="3" t="n"/>
      <c r="B27" s="3" t="n"/>
      <c r="C27" s="1" t="n"/>
      <c r="D27" s="4" t="n"/>
      <c r="E27" s="4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inlineStr">
        <is>
          <t>5</t>
        </is>
      </c>
      <c r="C28" s="1" t="n"/>
      <c r="D28" s="4" t="n"/>
      <c r="E28" s="4" t="n"/>
      <c r="F28" s="1" t="n"/>
      <c r="G28" s="1" t="n"/>
      <c r="H28" s="1" t="n"/>
      <c r="I28" s="1" t="n"/>
      <c r="J28" s="1" t="n"/>
      <c r="K28" s="1" t="n">
        <v>-6.049549422370253</v>
      </c>
      <c r="L28" s="1" t="n">
        <v>13.49782011076634</v>
      </c>
      <c r="M28" s="1" t="n">
        <v>2.625637327085213</v>
      </c>
      <c r="N28" s="1">
        <f>SUM(J28+N27)</f>
        <v/>
      </c>
      <c r="O28" s="2">
        <f>ROUND(SUM(O27+F28),1)</f>
        <v/>
      </c>
      <c r="P28" t="inlineStr">
        <is>
          <t>20.12.2008</t>
        </is>
      </c>
    </row>
    <row r="29">
      <c r="A29" s="3" t="inlineStr">
        <is>
          <t>5</t>
        </is>
      </c>
      <c r="B29" s="3" t="inlineStr">
        <is>
          <t>5.1</t>
        </is>
      </c>
      <c r="C29" s="1" t="n">
        <v>2.6</v>
      </c>
      <c r="D29" s="4" t="n">
        <v>332</v>
      </c>
      <c r="E29" s="4" t="n">
        <v>6</v>
      </c>
      <c r="F29" s="1">
        <f>C29*COS(RADIANS(E29))</f>
        <v/>
      </c>
      <c r="G29" s="1">
        <f>C29*COS(RADIANS(E29)) *SIN(RADIANS(D29))</f>
        <v/>
      </c>
      <c r="H29" s="1">
        <f>C29*COS(RADIANS(E29))*COS(RADIANS(D29))</f>
        <v/>
      </c>
      <c r="I29" s="1">
        <f>C29*SIN(RADIANS(E29))</f>
        <v/>
      </c>
      <c r="J29" s="1">
        <f>C29*COS(RADIANS(E29))*COS(RADIANS(D29-180))</f>
        <v/>
      </c>
      <c r="K29" s="1">
        <f>SUM(K28+G29)</f>
        <v/>
      </c>
      <c r="L29" s="1">
        <f>SUM(L28+H29)</f>
        <v/>
      </c>
      <c r="M29" s="1">
        <f>SUM(M28+I29)</f>
        <v/>
      </c>
      <c r="N29" s="1">
        <f>SUM(J29+N28)</f>
        <v/>
      </c>
      <c r="O29" s="2">
        <f>ROUND(SUM(O28+F29),1)</f>
        <v/>
      </c>
    </row>
    <row r="30">
      <c r="A30" s="3" t="inlineStr">
        <is>
          <t>5.1</t>
        </is>
      </c>
      <c r="B30" s="3" t="inlineStr">
        <is>
          <t>5.2</t>
        </is>
      </c>
      <c r="C30" s="1" t="n">
        <v>6.66</v>
      </c>
      <c r="D30" s="4" t="n">
        <v>300</v>
      </c>
      <c r="E30" s="4" t="n">
        <v>54</v>
      </c>
      <c r="F30" s="1">
        <f>C30*COS(RADIANS(E30))</f>
        <v/>
      </c>
      <c r="G30" s="1">
        <f>C30*COS(RADIANS(E30)) *SIN(RADIANS(D30))</f>
        <v/>
      </c>
      <c r="H30" s="1">
        <f>C30*COS(RADIANS(E30))*COS(RADIANS(D30))</f>
        <v/>
      </c>
      <c r="I30" s="1">
        <f>C30*SIN(RADIANS(E30))</f>
        <v/>
      </c>
      <c r="J30" s="1">
        <f>C30*COS(RADIANS(E30))*COS(RADIANS(D30-180))</f>
        <v/>
      </c>
      <c r="K30" s="1">
        <f>SUM(K29+G30)</f>
        <v/>
      </c>
      <c r="L30" s="1">
        <f>SUM(L29+H30)</f>
        <v/>
      </c>
      <c r="M30" s="1">
        <f>SUM(M29+I30)</f>
        <v/>
      </c>
      <c r="N30" s="1">
        <f>SUM(J30+N29)</f>
        <v/>
      </c>
      <c r="O30" s="2">
        <f>ROUND(SUM(O29+F30),1)</f>
        <v/>
      </c>
    </row>
    <row r="31">
      <c r="A31" s="3" t="inlineStr">
        <is>
          <t>5.2</t>
        </is>
      </c>
      <c r="B31" s="3" t="inlineStr">
        <is>
          <t>5.3</t>
        </is>
      </c>
      <c r="C31" s="1" t="n">
        <v>2.5</v>
      </c>
      <c r="D31" s="4" t="n">
        <v>330</v>
      </c>
      <c r="E31" s="4" t="n">
        <v>0</v>
      </c>
      <c r="F31" s="1">
        <f>C31*COS(RADIANS(E31))</f>
        <v/>
      </c>
      <c r="G31" s="1">
        <f>C31*COS(RADIANS(E31)) *SIN(RADIANS(D31))</f>
        <v/>
      </c>
      <c r="H31" s="1">
        <f>C31*COS(RADIANS(E31))*COS(RADIANS(D31))</f>
        <v/>
      </c>
      <c r="I31" s="1">
        <f>C31*SIN(RADIANS(E31))</f>
        <v/>
      </c>
      <c r="J31" s="1">
        <f>C31*COS(RADIANS(E31))*COS(RADIANS(D31-180))</f>
        <v/>
      </c>
      <c r="K31" s="1">
        <f>SUM(K30+G31)</f>
        <v/>
      </c>
      <c r="L31" s="1">
        <f>SUM(L30+H31)</f>
        <v/>
      </c>
      <c r="M31" s="1">
        <f>SUM(M30+I31)</f>
        <v/>
      </c>
      <c r="N31" s="1">
        <f>SUM(J31+N30)</f>
        <v/>
      </c>
      <c r="O31" s="2">
        <f>ROUND(SUM(O30+F31),1)</f>
        <v/>
      </c>
      <c r="P31" s="1" t="inlineStr">
        <is>
          <t>azymut przybliżony</t>
        </is>
      </c>
    </row>
    <row r="32">
      <c r="A32" s="3" t="n"/>
      <c r="B32" s="3" t="n"/>
      <c r="C32" s="1" t="n"/>
      <c r="D32" s="4" t="n"/>
      <c r="E32" s="4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inlineStr">
        <is>
          <t>8</t>
        </is>
      </c>
      <c r="C33" s="1" t="n"/>
      <c r="D33" s="4" t="n"/>
      <c r="E33" s="4" t="n"/>
      <c r="F33" s="1" t="n"/>
      <c r="G33" s="1" t="n"/>
      <c r="H33" s="1" t="n"/>
      <c r="I33" s="1" t="n"/>
      <c r="J33" s="1" t="n"/>
      <c r="K33" s="1" t="n">
        <v>-3.076492628289163</v>
      </c>
      <c r="L33" s="1" t="n">
        <v>20.56861773485011</v>
      </c>
      <c r="M33" s="1" t="n">
        <v>-1.281833516640286</v>
      </c>
      <c r="N33" s="1">
        <f>SUM(J33+N32)</f>
        <v/>
      </c>
      <c r="O33" s="2">
        <f>ROUND(SUM(O32+F33),1)</f>
        <v/>
      </c>
    </row>
    <row r="34">
      <c r="A34" s="3" t="inlineStr">
        <is>
          <t>8</t>
        </is>
      </c>
      <c r="B34" s="3" t="inlineStr">
        <is>
          <t>9</t>
        </is>
      </c>
      <c r="C34" s="1" t="n">
        <v>4.67</v>
      </c>
      <c r="D34" s="4" t="n">
        <v>12</v>
      </c>
      <c r="E34" s="4" t="n">
        <v>-2</v>
      </c>
      <c r="F34" s="1">
        <f>C34*COS(RADIANS(E34))</f>
        <v/>
      </c>
      <c r="G34" s="1">
        <f>C34*COS(RADIANS(E34)) *SIN(RADIANS(D34))</f>
        <v/>
      </c>
      <c r="H34" s="1">
        <f>C34*COS(RADIANS(E34))*COS(RADIANS(D34))</f>
        <v/>
      </c>
      <c r="I34" s="1">
        <f>C34*SIN(RADIANS(E34))</f>
        <v/>
      </c>
      <c r="J34" s="1">
        <f>C34*COS(RADIANS(E34))*COS(RADIANS(D34-180))</f>
        <v/>
      </c>
      <c r="K34" s="1">
        <f>SUM(K33+G34)</f>
        <v/>
      </c>
      <c r="L34" s="1">
        <f>SUM(L33+H34)</f>
        <v/>
      </c>
      <c r="M34" s="1">
        <f>SUM(M33+I34)</f>
        <v/>
      </c>
      <c r="N34" s="1">
        <f>SUM(J34+N33)</f>
        <v/>
      </c>
      <c r="O34" s="2">
        <f>ROUND(SUM(O33+F34),1)</f>
        <v/>
      </c>
    </row>
    <row r="35">
      <c r="A35" s="3" t="inlineStr">
        <is>
          <t>9</t>
        </is>
      </c>
      <c r="B35" s="3" t="inlineStr">
        <is>
          <t>10</t>
        </is>
      </c>
      <c r="C35" s="1" t="n">
        <v>2.43</v>
      </c>
      <c r="D35" s="4" t="n">
        <v>34</v>
      </c>
      <c r="E35" s="4" t="n">
        <v>-38</v>
      </c>
      <c r="F35" s="1">
        <f>C35*COS(RADIANS(E35))</f>
        <v/>
      </c>
      <c r="G35" s="1">
        <f>C35*COS(RADIANS(E35)) *SIN(RADIANS(D35))</f>
        <v/>
      </c>
      <c r="H35" s="1">
        <f>C35*COS(RADIANS(E35))*COS(RADIANS(D35))</f>
        <v/>
      </c>
      <c r="I35" s="1">
        <f>C35*SIN(RADIANS(E35))</f>
        <v/>
      </c>
      <c r="J35" s="1">
        <f>C35*COS(RADIANS(E35))*COS(RADIANS(D35-180))</f>
        <v/>
      </c>
      <c r="K35" s="1">
        <f>SUM(K34+G35)</f>
        <v/>
      </c>
      <c r="L35" s="1">
        <f>SUM(L34+H35)</f>
        <v/>
      </c>
      <c r="M35" s="1">
        <f>SUM(M34+I35)</f>
        <v/>
      </c>
      <c r="N35" s="1">
        <f>SUM(J35+N34)</f>
        <v/>
      </c>
      <c r="O35" s="2">
        <f>ROUND(SUM(O34+F35),1)</f>
        <v/>
      </c>
    </row>
    <row r="36">
      <c r="A36" s="3" t="inlineStr">
        <is>
          <t>10</t>
        </is>
      </c>
      <c r="B36" s="3" t="inlineStr">
        <is>
          <t>11</t>
        </is>
      </c>
      <c r="C36" s="1" t="n">
        <v>4.66</v>
      </c>
      <c r="D36" s="4" t="n">
        <v>268</v>
      </c>
      <c r="E36" s="4" t="n">
        <v>10</v>
      </c>
      <c r="F36" s="1">
        <f>C36*COS(RADIANS(E36))</f>
        <v/>
      </c>
      <c r="G36" s="1">
        <f>C36*COS(RADIANS(E36)) *SIN(RADIANS(D36))</f>
        <v/>
      </c>
      <c r="H36" s="1">
        <f>C36*COS(RADIANS(E36))*COS(RADIANS(D36))</f>
        <v/>
      </c>
      <c r="I36" s="1">
        <f>C36*SIN(RADIANS(E36))</f>
        <v/>
      </c>
      <c r="J36" s="1">
        <f>C36*COS(RADIANS(E36))*COS(RADIANS(D36-180))</f>
        <v/>
      </c>
      <c r="K36" s="1">
        <f>SUM(K35+G36)</f>
        <v/>
      </c>
      <c r="L36" s="1">
        <f>SUM(L35+H36)</f>
        <v/>
      </c>
      <c r="M36" s="1">
        <f>SUM(M35+I36)</f>
        <v/>
      </c>
      <c r="N36" s="1">
        <f>SUM(J36+N35)</f>
        <v/>
      </c>
      <c r="O36" s="2">
        <f>ROUND(SUM(O35+F36),1)</f>
        <v/>
      </c>
    </row>
    <row r="37">
      <c r="A37" s="3" t="inlineStr">
        <is>
          <t>11</t>
        </is>
      </c>
      <c r="B37" s="3" t="inlineStr">
        <is>
          <t>12</t>
        </is>
      </c>
      <c r="C37" s="1" t="n">
        <v>3.1</v>
      </c>
      <c r="D37" s="4" t="n">
        <v>268</v>
      </c>
      <c r="E37" s="4" t="n">
        <v>15</v>
      </c>
      <c r="F37" s="1">
        <f>C37*COS(RADIANS(E37))</f>
        <v/>
      </c>
      <c r="G37" s="1">
        <f>C37*COS(RADIANS(E37)) *SIN(RADIANS(D37))</f>
        <v/>
      </c>
      <c r="H37" s="1">
        <f>C37*COS(RADIANS(E37))*COS(RADIANS(D37))</f>
        <v/>
      </c>
      <c r="I37" s="1">
        <f>C37*SIN(RADIANS(E37))</f>
        <v/>
      </c>
      <c r="J37" s="1">
        <f>C37*COS(RADIANS(E37))*COS(RADIANS(D37-180))</f>
        <v/>
      </c>
      <c r="K37" s="1">
        <f>SUM(K36+G37)</f>
        <v/>
      </c>
      <c r="L37" s="1">
        <f>SUM(L36+H37)</f>
        <v/>
      </c>
      <c r="M37" s="1">
        <f>SUM(M36+I37)</f>
        <v/>
      </c>
      <c r="N37" s="1">
        <f>SUM(J37+N36)</f>
        <v/>
      </c>
      <c r="O37" s="2">
        <f>ROUND(SUM(O36+F37),1)</f>
        <v/>
      </c>
    </row>
    <row r="38">
      <c r="A38" s="3" t="inlineStr">
        <is>
          <t>12</t>
        </is>
      </c>
      <c r="B38" s="3" t="inlineStr">
        <is>
          <t>12.1</t>
        </is>
      </c>
      <c r="C38" s="1" t="n">
        <v>5.4</v>
      </c>
      <c r="D38" s="4" t="n">
        <v>158</v>
      </c>
      <c r="E38" s="4" t="n">
        <v>-2</v>
      </c>
      <c r="F38" s="1">
        <f>C38*COS(RADIANS(E38))</f>
        <v/>
      </c>
      <c r="G38" s="1">
        <f>C38*COS(RADIANS(E38)) *SIN(RADIANS(D38))</f>
        <v/>
      </c>
      <c r="H38" s="1">
        <f>C38*COS(RADIANS(E38))*COS(RADIANS(D38))</f>
        <v/>
      </c>
      <c r="I38" s="1">
        <f>C38*SIN(RADIANS(E38))</f>
        <v/>
      </c>
      <c r="J38" s="1">
        <f>C38*COS(RADIANS(E38))*COS(RADIANS(D38-180))</f>
        <v/>
      </c>
      <c r="K38" s="1">
        <f>SUM(K37+G38)</f>
        <v/>
      </c>
      <c r="L38" s="1">
        <f>SUM(L37+H38)</f>
        <v/>
      </c>
      <c r="M38" s="1">
        <f>SUM(M37+I38)</f>
        <v/>
      </c>
      <c r="N38" s="1">
        <f>SUM(J38+N37)</f>
        <v/>
      </c>
      <c r="O38" s="2">
        <f>ROUND(SUM(O37+F38),1)</f>
        <v/>
      </c>
    </row>
    <row r="39">
      <c r="A39" s="3" t="inlineStr">
        <is>
          <t>12.1</t>
        </is>
      </c>
      <c r="B39" s="3" t="inlineStr">
        <is>
          <t>8</t>
        </is>
      </c>
      <c r="C39" s="1" t="n">
        <v>4.03</v>
      </c>
      <c r="D39" s="4" t="n">
        <v>114</v>
      </c>
      <c r="E39" s="4" t="n">
        <v>0</v>
      </c>
      <c r="F39" s="1">
        <f>C39*COS(RADIANS(E39))</f>
        <v/>
      </c>
      <c r="G39" s="1">
        <f>C39*COS(RADIANS(E39)) *SIN(RADIANS(D39))</f>
        <v/>
      </c>
      <c r="H39" s="1">
        <f>C39*COS(RADIANS(E39))*COS(RADIANS(D39))</f>
        <v/>
      </c>
      <c r="I39" s="1">
        <f>C39*SIN(RADIANS(E39))</f>
        <v/>
      </c>
      <c r="J39" s="1">
        <f>C39*COS(RADIANS(E39))*COS(RADIANS(D39-180))</f>
        <v/>
      </c>
      <c r="K39" s="1">
        <f>SUM(K38+G39)</f>
        <v/>
      </c>
      <c r="L39" s="1">
        <f>SUM(L38+H39)</f>
        <v/>
      </c>
      <c r="M39" s="1">
        <f>SUM(M38+I39)</f>
        <v/>
      </c>
      <c r="N39" s="1">
        <f>SUM(J39+N38)</f>
        <v/>
      </c>
      <c r="O39" s="2">
        <f>ROUND(SUM(O38+F39),1)</f>
        <v/>
      </c>
    </row>
    <row r="40">
      <c r="A40" s="3" t="n"/>
      <c r="B40" s="3" t="n"/>
      <c r="C40" s="1" t="n"/>
      <c r="D40" s="4" t="n"/>
      <c r="E40" s="4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inlineStr">
        <is>
          <t>11</t>
        </is>
      </c>
      <c r="C41" s="1" t="n"/>
      <c r="D41" s="4" t="n"/>
      <c r="E41" s="4" t="n"/>
      <c r="F41" s="1" t="n"/>
      <c r="G41" s="1" t="n"/>
      <c r="H41" s="1" t="n"/>
      <c r="I41" s="1" t="n"/>
      <c r="J41" s="1" t="n"/>
      <c r="K41" s="1" t="n">
        <v>-5.621765465389784</v>
      </c>
      <c r="L41" s="1" t="n">
        <v>26.5611194138509</v>
      </c>
      <c r="M41" s="1" t="n">
        <v>-2.13167104335442</v>
      </c>
      <c r="N41" s="1">
        <f>SUM(J41+N40)</f>
        <v/>
      </c>
      <c r="O41" s="2">
        <f>ROUND(SUM(O40+F41),1)</f>
        <v/>
      </c>
      <c r="P41" t="inlineStr">
        <is>
          <t>20.12.2008</t>
        </is>
      </c>
    </row>
    <row r="42">
      <c r="A42" s="3" t="inlineStr">
        <is>
          <t>11</t>
        </is>
      </c>
      <c r="B42" s="3" t="inlineStr">
        <is>
          <t>11.1</t>
        </is>
      </c>
      <c r="C42" s="1" t="n">
        <v>2</v>
      </c>
      <c r="D42" s="4" t="n">
        <v>9</v>
      </c>
      <c r="E42" s="4" t="n">
        <v>17</v>
      </c>
      <c r="F42" s="1">
        <f>C42*COS(RADIANS(E42))</f>
        <v/>
      </c>
      <c r="G42" s="1">
        <f>C42*COS(RADIANS(E42)) *SIN(RADIANS(D42))</f>
        <v/>
      </c>
      <c r="H42" s="1">
        <f>C42*COS(RADIANS(E42))*COS(RADIANS(D42))</f>
        <v/>
      </c>
      <c r="I42" s="1">
        <f>C42*SIN(RADIANS(E42))</f>
        <v/>
      </c>
      <c r="J42" s="1">
        <f>C42*COS(RADIANS(E42))*COS(RADIANS(D42-180))</f>
        <v/>
      </c>
      <c r="K42" s="1">
        <f>SUM(K41+G42)</f>
        <v/>
      </c>
      <c r="L42" s="1">
        <f>SUM(L41+H42)</f>
        <v/>
      </c>
      <c r="M42" s="1">
        <f>SUM(M41+I42)</f>
        <v/>
      </c>
      <c r="N42" s="1">
        <f>SUM(J42+N41)</f>
        <v/>
      </c>
      <c r="O42" s="2">
        <f>ROUND(SUM(O41+F42),1)</f>
        <v/>
      </c>
    </row>
    <row r="43">
      <c r="A43" s="3" t="inlineStr">
        <is>
          <t>11.1</t>
        </is>
      </c>
      <c r="B43" s="3" t="inlineStr">
        <is>
          <t>11.2</t>
        </is>
      </c>
      <c r="C43" s="1" t="n">
        <v>2.53</v>
      </c>
      <c r="D43" s="4" t="n">
        <v>10</v>
      </c>
      <c r="E43" s="4" t="n">
        <v>-44</v>
      </c>
      <c r="F43" s="1">
        <f>C43*COS(RADIANS(E43))</f>
        <v/>
      </c>
      <c r="G43" s="1">
        <f>C43*COS(RADIANS(E43)) *SIN(RADIANS(D43))</f>
        <v/>
      </c>
      <c r="H43" s="1">
        <f>C43*COS(RADIANS(E43))*COS(RADIANS(D43))</f>
        <v/>
      </c>
      <c r="I43" s="1">
        <f>C43*SIN(RADIANS(E43))</f>
        <v/>
      </c>
      <c r="J43" s="1">
        <f>C43*COS(RADIANS(E43))*COS(RADIANS(D43-180))</f>
        <v/>
      </c>
      <c r="K43" s="1">
        <f>SUM(K42+G43)</f>
        <v/>
      </c>
      <c r="L43" s="1">
        <f>SUM(L42+H43)</f>
        <v/>
      </c>
      <c r="M43" s="1">
        <f>SUM(M42+I43)</f>
        <v/>
      </c>
      <c r="N43" s="1">
        <f>SUM(J43+N42)</f>
        <v/>
      </c>
      <c r="O43" s="2">
        <f>ROUND(SUM(O42+F43),1)</f>
        <v/>
      </c>
    </row>
    <row r="44">
      <c r="A44" s="3" t="inlineStr">
        <is>
          <t>11.2</t>
        </is>
      </c>
      <c r="B44" s="3" t="inlineStr">
        <is>
          <t>11.3</t>
        </is>
      </c>
      <c r="C44" s="1" t="n">
        <v>2.6</v>
      </c>
      <c r="D44" s="4" t="n">
        <v>44</v>
      </c>
      <c r="E44" s="4" t="n">
        <v>-21</v>
      </c>
      <c r="F44" s="1">
        <f>C44*COS(RADIANS(E44))</f>
        <v/>
      </c>
      <c r="G44" s="1">
        <f>C44*COS(RADIANS(E44)) *SIN(RADIANS(D44))</f>
        <v/>
      </c>
      <c r="H44" s="1">
        <f>C44*COS(RADIANS(E44))*COS(RADIANS(D44))</f>
        <v/>
      </c>
      <c r="I44" s="1">
        <f>C44*SIN(RADIANS(E44))</f>
        <v/>
      </c>
      <c r="J44" s="1">
        <f>C44*COS(RADIANS(E44))*COS(RADIANS(D44-180))</f>
        <v/>
      </c>
      <c r="K44" s="1">
        <f>SUM(K43+G44)</f>
        <v/>
      </c>
      <c r="L44" s="1">
        <f>SUM(L43+H44)</f>
        <v/>
      </c>
      <c r="M44" s="1">
        <f>SUM(M43+I44)</f>
        <v/>
      </c>
      <c r="N44" s="1">
        <f>SUM(J44+N43)</f>
        <v/>
      </c>
      <c r="O44" s="2">
        <f>ROUND(SUM(O43+F44),1)</f>
        <v/>
      </c>
    </row>
    <row r="45">
      <c r="A45" s="3" t="inlineStr">
        <is>
          <t>11.3</t>
        </is>
      </c>
      <c r="B45" s="3" t="inlineStr">
        <is>
          <t>11.4</t>
        </is>
      </c>
      <c r="C45" s="1" t="n">
        <v>3</v>
      </c>
      <c r="D45" s="4" t="n">
        <v>147</v>
      </c>
      <c r="E45" s="4" t="n">
        <v>-27</v>
      </c>
      <c r="F45" s="1">
        <f>C45*COS(RADIANS(E45))</f>
        <v/>
      </c>
      <c r="G45" s="1">
        <f>C45*COS(RADIANS(E45)) *SIN(RADIANS(D45))</f>
        <v/>
      </c>
      <c r="H45" s="1">
        <f>C45*COS(RADIANS(E45))*COS(RADIANS(D45))</f>
        <v/>
      </c>
      <c r="I45" s="1">
        <f>C45*SIN(RADIANS(E45))</f>
        <v/>
      </c>
      <c r="J45" s="1">
        <f>C45*COS(RADIANS(E45))*COS(RADIANS(D45-180))</f>
        <v/>
      </c>
      <c r="K45" s="1">
        <f>SUM(K44+G45)</f>
        <v/>
      </c>
      <c r="L45" s="1">
        <f>SUM(L44+H45)</f>
        <v/>
      </c>
      <c r="M45" s="1">
        <f>SUM(M44+I45)</f>
        <v/>
      </c>
      <c r="N45" s="1">
        <f>SUM(J45+N44)</f>
        <v/>
      </c>
      <c r="O45" s="2">
        <f>ROUND(SUM(O44+F45),1)</f>
        <v/>
      </c>
    </row>
    <row r="46">
      <c r="A46" s="3" t="n"/>
      <c r="B46" s="3" t="n"/>
      <c r="C46" s="1" t="n"/>
      <c r="D46" s="4" t="n"/>
      <c r="E46" s="4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inlineStr">
        <is>
          <t>12</t>
        </is>
      </c>
      <c r="C47" s="1" t="n"/>
      <c r="D47" s="4" t="n"/>
      <c r="E47" s="4" t="n"/>
      <c r="F47" s="1" t="n"/>
      <c r="G47" s="1" t="n"/>
      <c r="H47" s="1" t="n"/>
      <c r="I47" s="1" t="n"/>
      <c r="J47" s="1" t="n"/>
      <c r="K47" s="1" t="n">
        <v>-8.614311437549603</v>
      </c>
      <c r="L47" s="1" t="n">
        <v>26.45661740576364</v>
      </c>
      <c r="M47" s="1" t="n">
        <v>-1.329332003536606</v>
      </c>
      <c r="N47" s="1">
        <f>SUM(J47+N46)</f>
        <v/>
      </c>
      <c r="O47" s="2">
        <f>ROUND(SUM(O46+F47),1)</f>
        <v/>
      </c>
    </row>
    <row r="48">
      <c r="A48" s="3" t="inlineStr">
        <is>
          <t>12</t>
        </is>
      </c>
      <c r="B48" s="3" t="inlineStr">
        <is>
          <t>13</t>
        </is>
      </c>
      <c r="C48" s="1" t="n">
        <v>5.31</v>
      </c>
      <c r="D48" s="4" t="n">
        <v>284</v>
      </c>
      <c r="E48" s="4" t="n">
        <v>10</v>
      </c>
      <c r="F48" s="1">
        <f>C48*COS(RADIANS(E48))</f>
        <v/>
      </c>
      <c r="G48" s="1">
        <f>C48*COS(RADIANS(E48)) *SIN(RADIANS(D48))</f>
        <v/>
      </c>
      <c r="H48" s="1">
        <f>C48*COS(RADIANS(E48))*COS(RADIANS(D48))</f>
        <v/>
      </c>
      <c r="I48" s="1">
        <f>C48*SIN(RADIANS(E48))</f>
        <v/>
      </c>
      <c r="J48" s="1">
        <f>C48*COS(RADIANS(E48))*COS(RADIANS(D48-180))</f>
        <v/>
      </c>
      <c r="K48" s="1">
        <f>SUM(K47+G48)</f>
        <v/>
      </c>
      <c r="L48" s="1">
        <f>SUM(L47+H48)</f>
        <v/>
      </c>
      <c r="M48" s="1">
        <f>SUM(M47+I48)</f>
        <v/>
      </c>
      <c r="N48" s="1">
        <f>SUM(J48+N47)</f>
        <v/>
      </c>
      <c r="O48" s="2">
        <f>ROUND(SUM(O47+F48),1)</f>
        <v/>
      </c>
    </row>
    <row r="49">
      <c r="A49" s="3" t="inlineStr">
        <is>
          <t>13</t>
        </is>
      </c>
      <c r="B49" s="3" t="inlineStr">
        <is>
          <t>14</t>
        </is>
      </c>
      <c r="C49" s="1" t="n">
        <v>4.36</v>
      </c>
      <c r="D49" s="4" t="n">
        <v>334</v>
      </c>
      <c r="E49" s="4" t="n">
        <v>1</v>
      </c>
      <c r="F49" s="1">
        <f>C49*COS(RADIANS(E49))</f>
        <v/>
      </c>
      <c r="G49" s="1">
        <f>C49*COS(RADIANS(E49)) *SIN(RADIANS(D49))</f>
        <v/>
      </c>
      <c r="H49" s="1">
        <f>C49*COS(RADIANS(E49))*COS(RADIANS(D49))</f>
        <v/>
      </c>
      <c r="I49" s="1">
        <f>C49*SIN(RADIANS(E49))</f>
        <v/>
      </c>
      <c r="J49" s="1">
        <f>C49*COS(RADIANS(E49))*COS(RADIANS(D49-180))</f>
        <v/>
      </c>
      <c r="K49" s="1">
        <f>SUM(K48+G49)</f>
        <v/>
      </c>
      <c r="L49" s="1">
        <f>SUM(L48+H49)</f>
        <v/>
      </c>
      <c r="M49" s="1">
        <f>SUM(M48+I49)</f>
        <v/>
      </c>
      <c r="N49" s="1">
        <f>SUM(J49+N48)</f>
        <v/>
      </c>
      <c r="O49" s="2">
        <f>ROUND(SUM(O48+F49),1)</f>
        <v/>
      </c>
    </row>
    <row r="50">
      <c r="A50" s="3" t="inlineStr">
        <is>
          <t>14</t>
        </is>
      </c>
      <c r="B50" s="3" t="inlineStr">
        <is>
          <t>15</t>
        </is>
      </c>
      <c r="C50" s="1" t="n">
        <v>5.16</v>
      </c>
      <c r="D50" s="4" t="n">
        <v>323</v>
      </c>
      <c r="E50" s="4" t="n">
        <v>0</v>
      </c>
      <c r="F50" s="1">
        <f>C50*COS(RADIANS(E50))</f>
        <v/>
      </c>
      <c r="G50" s="1">
        <f>C50*COS(RADIANS(E50)) *SIN(RADIANS(D50))</f>
        <v/>
      </c>
      <c r="H50" s="1">
        <f>C50*COS(RADIANS(E50))*COS(RADIANS(D50))</f>
        <v/>
      </c>
      <c r="I50" s="1">
        <f>C50*SIN(RADIANS(E50))</f>
        <v/>
      </c>
      <c r="J50" s="1">
        <f>C50*COS(RADIANS(E50))*COS(RADIANS(D50-180))</f>
        <v/>
      </c>
      <c r="K50" s="1">
        <f>SUM(K49+G50)</f>
        <v/>
      </c>
      <c r="L50" s="1">
        <f>SUM(L49+H50)</f>
        <v/>
      </c>
      <c r="M50" s="1">
        <f>SUM(M49+I50)</f>
        <v/>
      </c>
      <c r="N50" s="1">
        <f>SUM(J50+N49)</f>
        <v/>
      </c>
      <c r="O50" s="2">
        <f>ROUND(SUM(O49+F50),1)</f>
        <v/>
      </c>
    </row>
    <row r="51">
      <c r="A51" s="3" t="inlineStr">
        <is>
          <t>15</t>
        </is>
      </c>
      <c r="B51" s="3" t="inlineStr">
        <is>
          <t>16</t>
        </is>
      </c>
      <c r="C51" s="1" t="n">
        <v>2.2</v>
      </c>
      <c r="D51" s="4" t="n">
        <v>305</v>
      </c>
      <c r="E51" s="4" t="n">
        <v>45</v>
      </c>
      <c r="F51" s="1">
        <f>C51*COS(RADIANS(E51))</f>
        <v/>
      </c>
      <c r="G51" s="1">
        <f>C51*COS(RADIANS(E51)) *SIN(RADIANS(D51))</f>
        <v/>
      </c>
      <c r="H51" s="1">
        <f>C51*COS(RADIANS(E51))*COS(RADIANS(D51))</f>
        <v/>
      </c>
      <c r="I51" s="1">
        <f>C51*SIN(RADIANS(E51))</f>
        <v/>
      </c>
      <c r="J51" s="1">
        <f>C51*COS(RADIANS(E51))*COS(RADIANS(D51-180))</f>
        <v/>
      </c>
      <c r="K51" s="1">
        <f>SUM(K50+G51)</f>
        <v/>
      </c>
      <c r="L51" s="1">
        <f>SUM(L50+H51)</f>
        <v/>
      </c>
      <c r="M51" s="1">
        <f>SUM(M50+I51)</f>
        <v/>
      </c>
      <c r="N51" s="1">
        <f>SUM(J51+N50)</f>
        <v/>
      </c>
      <c r="O51" s="2">
        <f>ROUND(SUM(O50+F51),1)</f>
        <v/>
      </c>
    </row>
    <row r="52">
      <c r="A52" s="3" t="inlineStr">
        <is>
          <t>16</t>
        </is>
      </c>
      <c r="B52" s="3" t="inlineStr">
        <is>
          <t>16'</t>
        </is>
      </c>
      <c r="C52" s="1" t="n">
        <v>3.9</v>
      </c>
      <c r="D52" s="4" t="n">
        <v>181</v>
      </c>
      <c r="E52" s="4" t="n">
        <v>-4</v>
      </c>
      <c r="F52" s="1">
        <f>C52*COS(RADIANS(E52))</f>
        <v/>
      </c>
      <c r="G52" s="1">
        <f>C52*COS(RADIANS(E52)) *SIN(RADIANS(D52))</f>
        <v/>
      </c>
      <c r="H52" s="1">
        <f>C52*COS(RADIANS(E52))*COS(RADIANS(D52))</f>
        <v/>
      </c>
      <c r="I52" s="1">
        <f>C52*SIN(RADIANS(E52))</f>
        <v/>
      </c>
      <c r="J52" s="1">
        <f>C52*COS(RADIANS(E52))*COS(RADIANS(D52-180))</f>
        <v/>
      </c>
      <c r="K52" s="1">
        <f>SUM(K51+G52)</f>
        <v/>
      </c>
      <c r="L52" s="1">
        <f>SUM(L51+H52)</f>
        <v/>
      </c>
      <c r="M52" s="1">
        <f>SUM(M51+I52)</f>
        <v/>
      </c>
      <c r="N52" s="1">
        <f>SUM(J52+N51)</f>
        <v/>
      </c>
      <c r="O52" s="2">
        <f>ROUND(SUM(O51+F52),1)</f>
        <v/>
      </c>
    </row>
    <row r="53">
      <c r="A53" s="3" t="inlineStr">
        <is>
          <t>16'</t>
        </is>
      </c>
      <c r="B53" s="3" t="inlineStr">
        <is>
          <t>14</t>
        </is>
      </c>
      <c r="C53" s="1" t="n">
        <v>5.43</v>
      </c>
      <c r="D53" s="4" t="n">
        <v>97</v>
      </c>
      <c r="E53" s="4" t="n">
        <v>-12</v>
      </c>
      <c r="F53" s="1">
        <f>C53*COS(RADIANS(E53))</f>
        <v/>
      </c>
      <c r="G53" s="1">
        <f>C53*COS(RADIANS(E53)) *SIN(RADIANS(D53))</f>
        <v/>
      </c>
      <c r="H53" s="1">
        <f>C53*COS(RADIANS(E53))*COS(RADIANS(D53))</f>
        <v/>
      </c>
      <c r="I53" s="1">
        <f>C53*SIN(RADIANS(E53))</f>
        <v/>
      </c>
      <c r="J53" s="1">
        <f>C53*COS(RADIANS(E53))*COS(RADIANS(D53-180))</f>
        <v/>
      </c>
      <c r="K53" s="1">
        <f>SUM(K52+G53)</f>
        <v/>
      </c>
      <c r="L53" s="1">
        <f>SUM(L52+H53)</f>
        <v/>
      </c>
      <c r="M53" s="1">
        <f>SUM(M52+I53)</f>
        <v/>
      </c>
      <c r="N53" s="1">
        <f>SUM(J53+N52)</f>
        <v/>
      </c>
      <c r="O53" s="2">
        <f>ROUND(SUM(O52+F53),1)</f>
        <v/>
      </c>
    </row>
    <row r="54">
      <c r="A54" s="3" t="n"/>
      <c r="B54" s="3" t="n"/>
      <c r="C54" s="1" t="n"/>
      <c r="D54" s="4" t="n"/>
      <c r="E54" s="4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inlineStr">
        <is>
          <t>16</t>
        </is>
      </c>
      <c r="C55" s="1" t="n"/>
      <c r="D55" s="4" t="n"/>
      <c r="E55" s="4" t="n"/>
      <c r="F55" s="1" t="n"/>
      <c r="G55" s="1" t="n"/>
      <c r="H55" s="1" t="n"/>
      <c r="I55" s="1" t="n"/>
      <c r="J55" s="1" t="n"/>
      <c r="K55" s="1" t="n">
        <v>-19.9789813242691</v>
      </c>
      <c r="L55" s="1" t="n">
        <v>36.65308659411492</v>
      </c>
      <c r="M55" s="1" t="n">
        <v>1.224467230551755</v>
      </c>
      <c r="N55" s="1">
        <f>SUM(J55+N54)</f>
        <v/>
      </c>
      <c r="O55" s="2">
        <f>ROUND(SUM(O54+F55),1)</f>
        <v/>
      </c>
    </row>
    <row r="56">
      <c r="A56" s="3" t="inlineStr">
        <is>
          <t>16</t>
        </is>
      </c>
      <c r="B56" s="3" t="inlineStr">
        <is>
          <t>17</t>
        </is>
      </c>
      <c r="C56" s="1" t="n">
        <v>3.55</v>
      </c>
      <c r="D56" s="4" t="n">
        <v>275</v>
      </c>
      <c r="E56" s="4" t="n">
        <v>-7</v>
      </c>
      <c r="F56" s="1">
        <f>C56*COS(RADIANS(E56))</f>
        <v/>
      </c>
      <c r="G56" s="1">
        <f>C56*COS(RADIANS(E56)) *SIN(RADIANS(D56))</f>
        <v/>
      </c>
      <c r="H56" s="1">
        <f>C56*COS(RADIANS(E56))*COS(RADIANS(D56))</f>
        <v/>
      </c>
      <c r="I56" s="1">
        <f>C56*SIN(RADIANS(E56))</f>
        <v/>
      </c>
      <c r="J56" s="1">
        <f>C56*COS(RADIANS(E56))*COS(RADIANS(D56-180))</f>
        <v/>
      </c>
      <c r="K56" s="1">
        <f>SUM(K55+G56)</f>
        <v/>
      </c>
      <c r="L56" s="1">
        <f>SUM(L55+H56)</f>
        <v/>
      </c>
      <c r="M56" s="1">
        <f>SUM(M55+I56)</f>
        <v/>
      </c>
      <c r="N56" s="1">
        <f>SUM(J56+N55)</f>
        <v/>
      </c>
      <c r="O56" s="2">
        <f>ROUND(SUM(O55+F56),1)</f>
        <v/>
      </c>
    </row>
    <row r="57">
      <c r="A57" s="3" t="inlineStr">
        <is>
          <t>17</t>
        </is>
      </c>
      <c r="B57" s="3" t="inlineStr">
        <is>
          <t>18</t>
        </is>
      </c>
      <c r="C57" s="1" t="n">
        <v>3.46</v>
      </c>
      <c r="D57" s="4" t="n">
        <v>283</v>
      </c>
      <c r="E57" s="4" t="n">
        <v>-6</v>
      </c>
      <c r="F57" s="1">
        <f>C57*COS(RADIANS(E57))</f>
        <v/>
      </c>
      <c r="G57" s="1">
        <f>C57*COS(RADIANS(E57)) *SIN(RADIANS(D57))</f>
        <v/>
      </c>
      <c r="H57" s="1">
        <f>C57*COS(RADIANS(E57))*COS(RADIANS(D57))</f>
        <v/>
      </c>
      <c r="I57" s="1">
        <f>C57*SIN(RADIANS(E57))</f>
        <v/>
      </c>
      <c r="J57" s="1">
        <f>C57*COS(RADIANS(E57))*COS(RADIANS(D57-180))</f>
        <v/>
      </c>
      <c r="K57" s="1">
        <f>SUM(K56+G57)</f>
        <v/>
      </c>
      <c r="L57" s="1">
        <f>SUM(L56+H57)</f>
        <v/>
      </c>
      <c r="M57" s="1">
        <f>SUM(M56+I57)</f>
        <v/>
      </c>
      <c r="N57" s="1">
        <f>SUM(J57+N56)</f>
        <v/>
      </c>
      <c r="O57" s="2">
        <f>ROUND(SUM(O56+F57),1)</f>
        <v/>
      </c>
    </row>
    <row r="58">
      <c r="A58" s="3" t="inlineStr">
        <is>
          <t>18</t>
        </is>
      </c>
      <c r="B58" s="3" t="inlineStr">
        <is>
          <t>19</t>
        </is>
      </c>
      <c r="C58" s="1" t="n">
        <v>5.67</v>
      </c>
      <c r="D58" s="4" t="n">
        <v>268</v>
      </c>
      <c r="E58" s="4" t="n">
        <v>20</v>
      </c>
      <c r="F58" s="1">
        <f>C58*COS(RADIANS(E58))</f>
        <v/>
      </c>
      <c r="G58" s="1">
        <f>C58*COS(RADIANS(E58)) *SIN(RADIANS(D58))</f>
        <v/>
      </c>
      <c r="H58" s="1">
        <f>C58*COS(RADIANS(E58))*COS(RADIANS(D58))</f>
        <v/>
      </c>
      <c r="I58" s="1">
        <f>C58*SIN(RADIANS(E58))</f>
        <v/>
      </c>
      <c r="J58" s="1">
        <f>C58*COS(RADIANS(E58))*COS(RADIANS(D58-180))</f>
        <v/>
      </c>
      <c r="K58" s="1">
        <f>SUM(K57+G58)</f>
        <v/>
      </c>
      <c r="L58" s="1">
        <f>SUM(L57+H58)</f>
        <v/>
      </c>
      <c r="M58" s="1">
        <f>SUM(M57+I58)</f>
        <v/>
      </c>
      <c r="N58" s="1">
        <f>SUM(J58+N57)</f>
        <v/>
      </c>
      <c r="O58" s="2">
        <f>ROUND(SUM(O57+F58),1)</f>
        <v/>
      </c>
    </row>
    <row r="59">
      <c r="A59" s="3" t="inlineStr">
        <is>
          <t>19</t>
        </is>
      </c>
      <c r="B59" s="3" t="inlineStr">
        <is>
          <t>20</t>
        </is>
      </c>
      <c r="C59" s="1" t="n">
        <v>3.88</v>
      </c>
      <c r="D59" s="4" t="n">
        <v>2</v>
      </c>
      <c r="E59" s="4" t="n">
        <v>-32</v>
      </c>
      <c r="F59" s="1">
        <f>C59*COS(RADIANS(E59))</f>
        <v/>
      </c>
      <c r="G59" s="1">
        <f>C59*COS(RADIANS(E59)) *SIN(RADIANS(D59))</f>
        <v/>
      </c>
      <c r="H59" s="1">
        <f>C59*COS(RADIANS(E59))*COS(RADIANS(D59))</f>
        <v/>
      </c>
      <c r="I59" s="1">
        <f>C59*SIN(RADIANS(E59))</f>
        <v/>
      </c>
      <c r="J59" s="1">
        <f>C59*COS(RADIANS(E59))*COS(RADIANS(D59-180))</f>
        <v/>
      </c>
      <c r="K59" s="1">
        <f>SUM(K58+G59)</f>
        <v/>
      </c>
      <c r="L59" s="1">
        <f>SUM(L58+H59)</f>
        <v/>
      </c>
      <c r="M59" s="1">
        <f>SUM(M58+I59)</f>
        <v/>
      </c>
      <c r="N59" s="1">
        <f>SUM(J59+N58)</f>
        <v/>
      </c>
      <c r="O59" s="2">
        <f>ROUND(SUM(O58+F59),1)</f>
        <v/>
      </c>
    </row>
    <row r="60">
      <c r="A60" s="3" t="inlineStr">
        <is>
          <t>20</t>
        </is>
      </c>
      <c r="B60" s="3" t="inlineStr">
        <is>
          <t>21</t>
        </is>
      </c>
      <c r="C60" s="1" t="n">
        <v>4.44</v>
      </c>
      <c r="D60" s="4" t="n">
        <v>310</v>
      </c>
      <c r="E60" s="4" t="n">
        <v>-17</v>
      </c>
      <c r="F60" s="1">
        <f>C60*COS(RADIANS(E60))</f>
        <v/>
      </c>
      <c r="G60" s="1">
        <f>C60*COS(RADIANS(E60)) *SIN(RADIANS(D60))</f>
        <v/>
      </c>
      <c r="H60" s="1">
        <f>C60*COS(RADIANS(E60))*COS(RADIANS(D60))</f>
        <v/>
      </c>
      <c r="I60" s="1">
        <f>C60*SIN(RADIANS(E60))</f>
        <v/>
      </c>
      <c r="J60" s="1">
        <f>C60*COS(RADIANS(E60))*COS(RADIANS(D60-180))</f>
        <v/>
      </c>
      <c r="K60" s="1">
        <f>SUM(K59+G60)</f>
        <v/>
      </c>
      <c r="L60" s="1">
        <f>SUM(L59+H60)</f>
        <v/>
      </c>
      <c r="M60" s="1">
        <f>SUM(M59+I60)</f>
        <v/>
      </c>
      <c r="N60" s="1">
        <f>SUM(J60+N59)</f>
        <v/>
      </c>
      <c r="O60" s="2">
        <f>ROUND(SUM(O59+F60),1)</f>
        <v/>
      </c>
    </row>
    <row r="61">
      <c r="A61" s="3" t="inlineStr">
        <is>
          <t>21</t>
        </is>
      </c>
      <c r="B61" s="3" t="inlineStr">
        <is>
          <t>22</t>
        </is>
      </c>
      <c r="C61" s="1" t="n">
        <v>3.5</v>
      </c>
      <c r="D61" s="4" t="n">
        <v>260</v>
      </c>
      <c r="E61" s="4" t="n">
        <v>0</v>
      </c>
      <c r="F61" s="1">
        <f>C61*COS(RADIANS(E61))</f>
        <v/>
      </c>
      <c r="G61" s="1">
        <f>C61*COS(RADIANS(E61)) *SIN(RADIANS(D61))</f>
        <v/>
      </c>
      <c r="H61" s="1">
        <f>C61*COS(RADIANS(E61))*COS(RADIANS(D61))</f>
        <v/>
      </c>
      <c r="I61" s="1">
        <f>C61*SIN(RADIANS(E61))</f>
        <v/>
      </c>
      <c r="J61" s="1">
        <f>C61*COS(RADIANS(E61))*COS(RADIANS(D61-180))</f>
        <v/>
      </c>
      <c r="K61" s="1">
        <f>SUM(K60+G61)</f>
        <v/>
      </c>
      <c r="L61" s="1">
        <f>SUM(L60+H61)</f>
        <v/>
      </c>
      <c r="M61" s="1">
        <f>SUM(M60+I61)</f>
        <v/>
      </c>
      <c r="N61" s="1">
        <f>SUM(J61+N60)</f>
        <v/>
      </c>
      <c r="O61" s="2">
        <f>ROUND(SUM(O60+F61),1)</f>
        <v/>
      </c>
    </row>
    <row r="62">
      <c r="A62" s="3" t="n"/>
      <c r="B62" s="3" t="n"/>
      <c r="C62" s="1" t="n"/>
      <c r="D62" s="4" t="n"/>
      <c r="E62" s="4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inlineStr">
        <is>
          <t>16</t>
        </is>
      </c>
      <c r="C63" s="1" t="n"/>
      <c r="D63" s="4" t="n"/>
      <c r="E63" s="4" t="n"/>
      <c r="F63" s="1" t="n"/>
      <c r="G63" s="1" t="n"/>
      <c r="H63" s="1" t="n"/>
      <c r="I63" s="1" t="n"/>
      <c r="J63" s="1" t="n"/>
      <c r="K63" s="1" t="n">
        <v>-19.9789813242691</v>
      </c>
      <c r="L63" s="1" t="n">
        <v>36.65308659411492</v>
      </c>
      <c r="M63" s="1" t="n">
        <v>1.224467230551755</v>
      </c>
      <c r="N63" s="1">
        <f>SUM(J63+N62)</f>
        <v/>
      </c>
      <c r="O63" s="2">
        <f>ROUND(SUM(O62+F63),1)</f>
        <v/>
      </c>
    </row>
    <row r="64">
      <c r="A64" s="3" t="inlineStr">
        <is>
          <t>16</t>
        </is>
      </c>
      <c r="B64" s="3" t="inlineStr">
        <is>
          <t>16.1</t>
        </is>
      </c>
      <c r="C64" s="1" t="n">
        <v>2.45</v>
      </c>
      <c r="D64" s="4" t="n">
        <v>337</v>
      </c>
      <c r="E64" s="4" t="n">
        <v>-8</v>
      </c>
      <c r="F64" s="1">
        <f>C64*COS(RADIANS(E64))</f>
        <v/>
      </c>
      <c r="G64" s="1">
        <f>C64*COS(RADIANS(E64)) *SIN(RADIANS(D64))</f>
        <v/>
      </c>
      <c r="H64" s="1">
        <f>C64*COS(RADIANS(E64))*COS(RADIANS(D64))</f>
        <v/>
      </c>
      <c r="I64" s="1">
        <f>C64*SIN(RADIANS(E64))</f>
        <v/>
      </c>
      <c r="J64" s="1">
        <f>C64*COS(RADIANS(E64))*COS(RADIANS(D64-180))</f>
        <v/>
      </c>
      <c r="K64" s="1">
        <f>SUM(K63+G64)</f>
        <v/>
      </c>
      <c r="L64" s="1">
        <f>SUM(L63+H64)</f>
        <v/>
      </c>
      <c r="M64" s="1">
        <f>SUM(M63+I64)</f>
        <v/>
      </c>
      <c r="N64" s="1">
        <f>SUM(J64+N63)</f>
        <v/>
      </c>
      <c r="O64" s="2">
        <f>ROUND(SUM(O63+F64),1)</f>
        <v/>
      </c>
    </row>
    <row r="65">
      <c r="A65" s="3" t="inlineStr">
        <is>
          <t>16.1</t>
        </is>
      </c>
      <c r="B65" s="3" t="inlineStr">
        <is>
          <t>16.2</t>
        </is>
      </c>
      <c r="C65" s="1" t="n">
        <v>2.9</v>
      </c>
      <c r="D65" s="4" t="n">
        <v>340</v>
      </c>
      <c r="E65" s="4" t="n">
        <v>-3</v>
      </c>
      <c r="F65" s="1">
        <f>C65*COS(RADIANS(E65))</f>
        <v/>
      </c>
      <c r="G65" s="1">
        <f>C65*COS(RADIANS(E65)) *SIN(RADIANS(D65))</f>
        <v/>
      </c>
      <c r="H65" s="1">
        <f>C65*COS(RADIANS(E65))*COS(RADIANS(D65))</f>
        <v/>
      </c>
      <c r="I65" s="1">
        <f>C65*SIN(RADIANS(E65))</f>
        <v/>
      </c>
      <c r="J65" s="1">
        <f>C65*COS(RADIANS(E65))*COS(RADIANS(D65-180))</f>
        <v/>
      </c>
      <c r="K65" s="1">
        <f>SUM(K64+G65)</f>
        <v/>
      </c>
      <c r="L65" s="1">
        <f>SUM(L64+H65)</f>
        <v/>
      </c>
      <c r="M65" s="1">
        <f>SUM(M64+I65)</f>
        <v/>
      </c>
      <c r="N65" s="1">
        <f>SUM(J65+N64)</f>
        <v/>
      </c>
      <c r="O65" s="2">
        <f>ROUND(SUM(O64+F65),1)</f>
        <v/>
      </c>
    </row>
    <row r="66">
      <c r="A66" s="3" t="inlineStr">
        <is>
          <t>16.2</t>
        </is>
      </c>
      <c r="B66" s="3" t="inlineStr">
        <is>
          <t>16.3</t>
        </is>
      </c>
      <c r="C66" s="1" t="n">
        <v>1</v>
      </c>
      <c r="D66" s="4" t="n">
        <v>0</v>
      </c>
      <c r="E66" s="4" t="n">
        <v>90</v>
      </c>
      <c r="F66" s="1">
        <f>C66*COS(RADIANS(E66))</f>
        <v/>
      </c>
      <c r="G66" s="1">
        <f>C66*COS(RADIANS(E66)) *SIN(RADIANS(D66))</f>
        <v/>
      </c>
      <c r="H66" s="1">
        <f>C66*COS(RADIANS(E66))*COS(RADIANS(D66))</f>
        <v/>
      </c>
      <c r="I66" s="1">
        <f>C66*SIN(RADIANS(E66))</f>
        <v/>
      </c>
      <c r="J66" s="1">
        <f>C66*COS(RADIANS(E66))*COS(RADIANS(D66-180))</f>
        <v/>
      </c>
      <c r="K66" s="1">
        <f>SUM(K65+G66)</f>
        <v/>
      </c>
      <c r="L66" s="1">
        <f>SUM(L65+H66)</f>
        <v/>
      </c>
      <c r="M66" s="1">
        <f>SUM(M65+I66)</f>
        <v/>
      </c>
      <c r="N66" s="1">
        <f>SUM(J66+N65)</f>
        <v/>
      </c>
      <c r="O66" s="2">
        <f>ROUND(SUM(O65+F66),1)</f>
        <v/>
      </c>
    </row>
    <row r="67">
      <c r="A67" s="3" t="inlineStr">
        <is>
          <t>16.3</t>
        </is>
      </c>
      <c r="B67" s="3" t="inlineStr">
        <is>
          <t>16.4</t>
        </is>
      </c>
      <c r="C67" s="1" t="n">
        <v>2.02</v>
      </c>
      <c r="D67" s="4" t="n">
        <v>342</v>
      </c>
      <c r="E67" s="4" t="n">
        <v>-3</v>
      </c>
      <c r="F67" s="1">
        <f>C67*COS(RADIANS(E67))</f>
        <v/>
      </c>
      <c r="G67" s="1">
        <f>C67*COS(RADIANS(E67)) *SIN(RADIANS(D67))</f>
        <v/>
      </c>
      <c r="H67" s="1">
        <f>C67*COS(RADIANS(E67))*COS(RADIANS(D67))</f>
        <v/>
      </c>
      <c r="I67" s="1">
        <f>C67*SIN(RADIANS(E67))</f>
        <v/>
      </c>
      <c r="J67" s="1">
        <f>C67*COS(RADIANS(E67))*COS(RADIANS(D67-180))</f>
        <v/>
      </c>
      <c r="K67" s="1">
        <f>SUM(K66+G67)</f>
        <v/>
      </c>
      <c r="L67" s="1">
        <f>SUM(L66+H67)</f>
        <v/>
      </c>
      <c r="M67" s="1">
        <f>SUM(M66+I67)</f>
        <v/>
      </c>
      <c r="N67" s="1">
        <f>SUM(J67+N66)</f>
        <v/>
      </c>
      <c r="O67" s="2">
        <f>ROUND(SUM(O66+F67),1)</f>
        <v/>
      </c>
    </row>
    <row r="68">
      <c r="A68" s="3" t="inlineStr">
        <is>
          <t>16.4</t>
        </is>
      </c>
      <c r="B68" s="3" t="inlineStr">
        <is>
          <t>16.5</t>
        </is>
      </c>
      <c r="C68" s="1" t="n">
        <v>3.48</v>
      </c>
      <c r="D68" s="4" t="n">
        <v>333</v>
      </c>
      <c r="E68" s="4" t="n">
        <v>-22</v>
      </c>
      <c r="F68" s="1">
        <f>C68*COS(RADIANS(E68))</f>
        <v/>
      </c>
      <c r="G68" s="1">
        <f>C68*COS(RADIANS(E68)) *SIN(RADIANS(D68))</f>
        <v/>
      </c>
      <c r="H68" s="1">
        <f>C68*COS(RADIANS(E68))*COS(RADIANS(D68))</f>
        <v/>
      </c>
      <c r="I68" s="1">
        <f>C68*SIN(RADIANS(E68))</f>
        <v/>
      </c>
      <c r="J68" s="1">
        <f>C68*COS(RADIANS(E68))*COS(RADIANS(D68-180))</f>
        <v/>
      </c>
      <c r="K68" s="1">
        <f>SUM(K67+G68)</f>
        <v/>
      </c>
      <c r="L68" s="1">
        <f>SUM(L67+H68)</f>
        <v/>
      </c>
      <c r="M68" s="1">
        <f>SUM(M67+I68)</f>
        <v/>
      </c>
      <c r="N68" s="1">
        <f>SUM(J68+N67)</f>
        <v/>
      </c>
      <c r="O68" s="2">
        <f>ROUND(SUM(O67+F68),1)</f>
        <v/>
      </c>
    </row>
    <row r="69">
      <c r="A69" s="3" t="inlineStr">
        <is>
          <t>16.5</t>
        </is>
      </c>
      <c r="B69" s="3" t="inlineStr">
        <is>
          <t>16.6</t>
        </is>
      </c>
      <c r="C69" s="1" t="n">
        <v>1.1</v>
      </c>
      <c r="D69" s="4" t="n">
        <v>318</v>
      </c>
      <c r="E69" s="4" t="n">
        <v>-17</v>
      </c>
      <c r="F69" s="1">
        <f>C69*COS(RADIANS(E69))</f>
        <v/>
      </c>
      <c r="G69" s="1">
        <f>C69*COS(RADIANS(E69)) *SIN(RADIANS(D69))</f>
        <v/>
      </c>
      <c r="H69" s="1">
        <f>C69*COS(RADIANS(E69))*COS(RADIANS(D69))</f>
        <v/>
      </c>
      <c r="I69" s="1">
        <f>C69*SIN(RADIANS(E69))</f>
        <v/>
      </c>
      <c r="J69" s="1">
        <f>C69*COS(RADIANS(E69))*COS(RADIANS(D69-180))</f>
        <v/>
      </c>
      <c r="K69" s="1">
        <f>SUM(K68+G69)</f>
        <v/>
      </c>
      <c r="L69" s="1">
        <f>SUM(L68+H69)</f>
        <v/>
      </c>
      <c r="M69" s="1">
        <f>SUM(M68+I69)</f>
        <v/>
      </c>
      <c r="N69" s="1">
        <f>SUM(J69+N68)</f>
        <v/>
      </c>
      <c r="O69" s="2">
        <f>ROUND(SUM(O68+F69),1)</f>
        <v/>
      </c>
    </row>
    <row r="70">
      <c r="A70" s="3" t="inlineStr">
        <is>
          <t>16.6</t>
        </is>
      </c>
      <c r="B70" s="3" t="inlineStr">
        <is>
          <t>16.6.1</t>
        </is>
      </c>
      <c r="C70" s="1" t="n">
        <v>3.1</v>
      </c>
      <c r="D70" s="4" t="n">
        <v>290</v>
      </c>
      <c r="E70" s="4" t="n">
        <v>39</v>
      </c>
      <c r="F70" s="1">
        <f>C70*COS(RADIANS(E70))</f>
        <v/>
      </c>
      <c r="G70" s="1">
        <f>C70*COS(RADIANS(E70)) *SIN(RADIANS(D70))</f>
        <v/>
      </c>
      <c r="H70" s="1">
        <f>C70*COS(RADIANS(E70))*COS(RADIANS(D70))</f>
        <v/>
      </c>
      <c r="I70" s="1">
        <f>C70*SIN(RADIANS(E70))</f>
        <v/>
      </c>
      <c r="J70" s="1">
        <f>C70*COS(RADIANS(E70))*COS(RADIANS(D70-180))</f>
        <v/>
      </c>
      <c r="K70" s="1">
        <f>SUM(K69+G70)</f>
        <v/>
      </c>
      <c r="L70" s="1">
        <f>SUM(L69+H70)</f>
        <v/>
      </c>
      <c r="M70" s="1">
        <f>SUM(M69+I70)</f>
        <v/>
      </c>
      <c r="N70" s="1">
        <f>SUM(J70+N69)</f>
        <v/>
      </c>
      <c r="O70" s="2">
        <f>ROUND(SUM(O69+F70),1)</f>
        <v/>
      </c>
      <c r="P70" s="1" t="inlineStr">
        <is>
          <t>dalej komin +4 m</t>
        </is>
      </c>
    </row>
    <row r="71">
      <c r="A71" s="3" t="n"/>
      <c r="B71" s="3" t="n"/>
      <c r="C71" s="1" t="n"/>
      <c r="D71" s="4" t="n"/>
      <c r="E71" s="4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inlineStr">
        <is>
          <t>16.6</t>
        </is>
      </c>
      <c r="C72" s="1" t="n"/>
      <c r="D72" s="4" t="n"/>
      <c r="E72" s="4" t="n"/>
      <c r="F72" s="1" t="n"/>
      <c r="G72" s="1" t="n"/>
      <c r="H72" s="1" t="n"/>
      <c r="I72" s="1" t="n"/>
      <c r="J72" s="1" t="n"/>
      <c r="K72" s="1" t="n">
        <v>-24.70954199034832</v>
      </c>
      <c r="L72" s="1" t="n">
        <v>47.1829126328395</v>
      </c>
      <c r="M72" s="1" t="n">
        <v>0.0007604082019269098</v>
      </c>
      <c r="N72" s="1">
        <f>SUM(J72+N71)</f>
        <v/>
      </c>
      <c r="O72" s="2">
        <f>ROUND(SUM(O71+F72),1)</f>
        <v/>
      </c>
    </row>
    <row r="73">
      <c r="A73" s="3" t="inlineStr">
        <is>
          <t>16.6</t>
        </is>
      </c>
      <c r="B73" s="3" t="inlineStr">
        <is>
          <t>16.7</t>
        </is>
      </c>
      <c r="C73" s="1" t="n">
        <v>2.4</v>
      </c>
      <c r="D73" s="4" t="n">
        <v>26</v>
      </c>
      <c r="E73" s="4" t="n">
        <v>-23</v>
      </c>
      <c r="F73" s="1">
        <f>C73*COS(RADIANS(E73))</f>
        <v/>
      </c>
      <c r="G73" s="1">
        <f>C73*COS(RADIANS(E73)) *SIN(RADIANS(D73))</f>
        <v/>
      </c>
      <c r="H73" s="1">
        <f>C73*COS(RADIANS(E73))*COS(RADIANS(D73))</f>
        <v/>
      </c>
      <c r="I73" s="1">
        <f>C73*SIN(RADIANS(E73))</f>
        <v/>
      </c>
      <c r="J73" s="1">
        <f>C73*COS(RADIANS(E73))*COS(RADIANS(D73-180))</f>
        <v/>
      </c>
      <c r="K73" s="1">
        <f>SUM(K72+G73)</f>
        <v/>
      </c>
      <c r="L73" s="1">
        <f>SUM(L72+H73)</f>
        <v/>
      </c>
      <c r="M73" s="1">
        <f>SUM(M72+I73)</f>
        <v/>
      </c>
      <c r="N73" s="1">
        <f>SUM(J73+N72)</f>
        <v/>
      </c>
      <c r="O73" s="2">
        <f>ROUND(SUM(O72+F73),1)</f>
        <v/>
      </c>
    </row>
    <row r="74">
      <c r="A74" s="3" t="inlineStr">
        <is>
          <t>16.7</t>
        </is>
      </c>
      <c r="B74" s="3" t="inlineStr">
        <is>
          <t>16.7.1</t>
        </is>
      </c>
      <c r="C74" s="1" t="n">
        <v>6.18</v>
      </c>
      <c r="D74" s="4" t="n">
        <v>296</v>
      </c>
      <c r="E74" s="4" t="n">
        <v>-4</v>
      </c>
      <c r="F74" s="1">
        <f>C74*COS(RADIANS(E74))</f>
        <v/>
      </c>
      <c r="G74" s="1">
        <f>C74*COS(RADIANS(E74)) *SIN(RADIANS(D74))</f>
        <v/>
      </c>
      <c r="H74" s="1">
        <f>C74*COS(RADIANS(E74))*COS(RADIANS(D74))</f>
        <v/>
      </c>
      <c r="I74" s="1">
        <f>C74*SIN(RADIANS(E74))</f>
        <v/>
      </c>
      <c r="J74" s="1">
        <f>C74*COS(RADIANS(E74))*COS(RADIANS(D74-180))</f>
        <v/>
      </c>
      <c r="K74" s="1">
        <f>SUM(K73+G74)</f>
        <v/>
      </c>
      <c r="L74" s="1">
        <f>SUM(L73+H74)</f>
        <v/>
      </c>
      <c r="M74" s="1">
        <f>SUM(M73+I74)</f>
        <v/>
      </c>
      <c r="N74" s="1">
        <f>SUM(J74+N73)</f>
        <v/>
      </c>
      <c r="O74" s="2">
        <f>ROUND(SUM(O73+F74),1)</f>
        <v/>
      </c>
    </row>
    <row r="75">
      <c r="A75" s="3" t="inlineStr">
        <is>
          <t>16.7.1</t>
        </is>
      </c>
      <c r="B75" s="3" t="inlineStr">
        <is>
          <t>16.7.2</t>
        </is>
      </c>
      <c r="C75" s="1" t="n">
        <v>3.9</v>
      </c>
      <c r="D75" s="4" t="n">
        <v>207</v>
      </c>
      <c r="E75" s="4" t="n">
        <v>7</v>
      </c>
      <c r="F75" s="1">
        <f>C75*COS(RADIANS(E75))</f>
        <v/>
      </c>
      <c r="G75" s="1">
        <f>C75*COS(RADIANS(E75)) *SIN(RADIANS(D75))</f>
        <v/>
      </c>
      <c r="H75" s="1">
        <f>C75*COS(RADIANS(E75))*COS(RADIANS(D75))</f>
        <v/>
      </c>
      <c r="I75" s="1">
        <f>C75*SIN(RADIANS(E75))</f>
        <v/>
      </c>
      <c r="J75" s="1">
        <f>C75*COS(RADIANS(E75))*COS(RADIANS(D75-180))</f>
        <v/>
      </c>
      <c r="K75" s="1">
        <f>SUM(K74+G75)</f>
        <v/>
      </c>
      <c r="L75" s="1">
        <f>SUM(L74+H75)</f>
        <v/>
      </c>
      <c r="M75" s="1">
        <f>SUM(M74+I75)</f>
        <v/>
      </c>
      <c r="N75" s="1">
        <f>SUM(J75+N74)</f>
        <v/>
      </c>
      <c r="O75" s="2">
        <f>ROUND(SUM(O74+F75),1)</f>
        <v/>
      </c>
    </row>
    <row r="76">
      <c r="A76" s="3" t="inlineStr">
        <is>
          <t>16.7.2</t>
        </is>
      </c>
      <c r="B76" s="3" t="inlineStr">
        <is>
          <t>16.7.3</t>
        </is>
      </c>
      <c r="C76" s="1" t="n">
        <v>3.6</v>
      </c>
      <c r="D76" s="4" t="n">
        <v>187</v>
      </c>
      <c r="E76" s="4" t="n">
        <v>20</v>
      </c>
      <c r="F76" s="1">
        <f>C76*COS(RADIANS(E76))</f>
        <v/>
      </c>
      <c r="G76" s="1">
        <f>C76*COS(RADIANS(E76)) *SIN(RADIANS(D76))</f>
        <v/>
      </c>
      <c r="H76" s="1">
        <f>C76*COS(RADIANS(E76))*COS(RADIANS(D76))</f>
        <v/>
      </c>
      <c r="I76" s="1">
        <f>C76*SIN(RADIANS(E76))</f>
        <v/>
      </c>
      <c r="J76" s="1">
        <f>C76*COS(RADIANS(E76))*COS(RADIANS(D76-180))</f>
        <v/>
      </c>
      <c r="K76" s="1">
        <f>SUM(K75+G76)</f>
        <v/>
      </c>
      <c r="L76" s="1">
        <f>SUM(L75+H76)</f>
        <v/>
      </c>
      <c r="M76" s="1">
        <f>SUM(M75+I76)</f>
        <v/>
      </c>
      <c r="N76" s="1">
        <f>SUM(J76+N75)</f>
        <v/>
      </c>
      <c r="O76" s="2">
        <f>ROUND(SUM(O75+F76),1)</f>
        <v/>
      </c>
    </row>
    <row r="77">
      <c r="A77" s="3" t="n"/>
      <c r="B77" s="3" t="n"/>
      <c r="C77" s="1" t="n"/>
      <c r="D77" s="4" t="n"/>
      <c r="E77" s="4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inlineStr">
        <is>
          <t>16.7</t>
        </is>
      </c>
      <c r="C78" s="1" t="n"/>
      <c r="D78" s="4" t="n"/>
      <c r="E78" s="4" t="n"/>
      <c r="F78" s="1" t="n"/>
      <c r="G78" s="1" t="n"/>
      <c r="H78" s="1" t="n"/>
      <c r="I78" s="1" t="n"/>
      <c r="J78" s="1" t="n"/>
      <c r="K78" s="1" t="n">
        <v>-23.74108734658946</v>
      </c>
      <c r="L78" s="1" t="n">
        <v>49.16853890933359</v>
      </c>
      <c r="M78" s="1" t="n">
        <v>-0.9369943001723301</v>
      </c>
      <c r="N78" s="1">
        <f>SUM(J78+N77)</f>
        <v/>
      </c>
      <c r="O78" s="2">
        <f>ROUND(SUM(O77+F78),1)</f>
        <v/>
      </c>
    </row>
    <row r="79">
      <c r="A79" s="3" t="inlineStr">
        <is>
          <t>16.7</t>
        </is>
      </c>
      <c r="B79" s="3" t="inlineStr">
        <is>
          <t>16.8</t>
        </is>
      </c>
      <c r="C79" s="1" t="n">
        <v>1.19</v>
      </c>
      <c r="D79" s="4" t="n">
        <v>102</v>
      </c>
      <c r="E79" s="4" t="n">
        <v>0</v>
      </c>
      <c r="F79" s="1">
        <f>C79*COS(RADIANS(E79))</f>
        <v/>
      </c>
      <c r="G79" s="1">
        <f>C79*COS(RADIANS(E79)) *SIN(RADIANS(D79))</f>
        <v/>
      </c>
      <c r="H79" s="1">
        <f>C79*COS(RADIANS(E79))*COS(RADIANS(D79))</f>
        <v/>
      </c>
      <c r="I79" s="1">
        <f>C79*SIN(RADIANS(E79))</f>
        <v/>
      </c>
      <c r="J79" s="1">
        <f>C79*COS(RADIANS(E79))*COS(RADIANS(D79-180))</f>
        <v/>
      </c>
      <c r="K79" s="1">
        <f>SUM(K78+G79)</f>
        <v/>
      </c>
      <c r="L79" s="1">
        <f>SUM(L78+H79)</f>
        <v/>
      </c>
      <c r="M79" s="1">
        <f>SUM(M78+I79)</f>
        <v/>
      </c>
      <c r="N79" s="1">
        <f>SUM(J79+N78)</f>
        <v/>
      </c>
      <c r="O79" s="2">
        <f>ROUND(SUM(O78+F79),1)</f>
        <v/>
      </c>
    </row>
    <row r="80">
      <c r="A80" s="3" t="inlineStr">
        <is>
          <t>16.8</t>
        </is>
      </c>
      <c r="B80" s="3" t="inlineStr">
        <is>
          <t>16.8.1</t>
        </is>
      </c>
      <c r="C80" s="1" t="n">
        <v>3.47</v>
      </c>
      <c r="D80" s="4" t="n">
        <v>160</v>
      </c>
      <c r="E80" s="4" t="n">
        <v>35</v>
      </c>
      <c r="F80" s="1">
        <f>C80*COS(RADIANS(E80))</f>
        <v/>
      </c>
      <c r="G80" s="1">
        <f>C80*COS(RADIANS(E80)) *SIN(RADIANS(D80))</f>
        <v/>
      </c>
      <c r="H80" s="1">
        <f>C80*COS(RADIANS(E80))*COS(RADIANS(D80))</f>
        <v/>
      </c>
      <c r="I80" s="1">
        <f>C80*SIN(RADIANS(E80))</f>
        <v/>
      </c>
      <c r="J80" s="1">
        <f>C80*COS(RADIANS(E80))*COS(RADIANS(D80-180))</f>
        <v/>
      </c>
      <c r="K80" s="1">
        <f>SUM(K79+G80)</f>
        <v/>
      </c>
      <c r="L80" s="1">
        <f>SUM(L79+H80)</f>
        <v/>
      </c>
      <c r="M80" s="1">
        <f>SUM(M79+I80)</f>
        <v/>
      </c>
      <c r="N80" s="1">
        <f>SUM(J80+N79)</f>
        <v/>
      </c>
      <c r="O80" s="2">
        <f>ROUND(SUM(O79+F80),1)</f>
        <v/>
      </c>
    </row>
    <row r="81">
      <c r="A81" s="3" t="inlineStr">
        <is>
          <t>16.8.1</t>
        </is>
      </c>
      <c r="B81" s="3" t="inlineStr">
        <is>
          <t>16.5</t>
        </is>
      </c>
      <c r="C81" s="1" t="n">
        <v>2.27</v>
      </c>
      <c r="D81" s="4" t="n">
        <v>288</v>
      </c>
      <c r="E81" s="4" t="n">
        <v>-13</v>
      </c>
      <c r="F81" s="1">
        <f>C81*COS(RADIANS(E81))</f>
        <v/>
      </c>
      <c r="G81" s="1">
        <f>C81*COS(RADIANS(E81)) *SIN(RADIANS(D81))</f>
        <v/>
      </c>
      <c r="H81" s="1">
        <f>C81*COS(RADIANS(E81))*COS(RADIANS(D81))</f>
        <v/>
      </c>
      <c r="I81" s="1">
        <f>C81*SIN(RADIANS(E81))</f>
        <v/>
      </c>
      <c r="J81" s="1">
        <f>C81*COS(RADIANS(E81))*COS(RADIANS(D81-180))</f>
        <v/>
      </c>
      <c r="K81" s="1">
        <f>SUM(K80+G81)</f>
        <v/>
      </c>
      <c r="L81" s="1">
        <f>SUM(L80+H81)</f>
        <v/>
      </c>
      <c r="M81" s="1">
        <f>SUM(M80+I81)</f>
        <v/>
      </c>
      <c r="N81" s="1">
        <f>SUM(J81+N80)</f>
        <v/>
      </c>
      <c r="O81" s="2">
        <f>ROUND(SUM(O80+F81),1)</f>
        <v/>
      </c>
    </row>
    <row r="82">
      <c r="A82" s="3" t="n"/>
      <c r="B82" s="3" t="n"/>
      <c r="C82" s="1" t="n"/>
      <c r="D82" s="4" t="n"/>
      <c r="E82" s="4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inlineStr">
        <is>
          <t>16.8</t>
        </is>
      </c>
      <c r="C83" s="1" t="n"/>
      <c r="D83" s="4" t="n"/>
      <c r="E83" s="4" t="n"/>
      <c r="F83" s="1" t="n"/>
      <c r="G83" s="1" t="n"/>
      <c r="H83" s="1" t="n"/>
      <c r="I83" s="1" t="n"/>
      <c r="J83" s="1" t="n"/>
      <c r="K83" s="1" t="n">
        <v>-22.57709170171623</v>
      </c>
      <c r="L83" s="1" t="n">
        <v>48.92112399726046</v>
      </c>
      <c r="M83" s="1" t="n">
        <v>-0.9369943001723301</v>
      </c>
      <c r="N83" s="1">
        <f>SUM(J83+N82)</f>
        <v/>
      </c>
      <c r="O83" s="2">
        <f>ROUND(SUM(O82+F83),1)</f>
        <v/>
      </c>
    </row>
    <row r="84">
      <c r="A84" s="3" t="inlineStr">
        <is>
          <t>16.8</t>
        </is>
      </c>
      <c r="B84" s="3" t="inlineStr">
        <is>
          <t>16.9</t>
        </is>
      </c>
      <c r="C84" s="1" t="n">
        <v>1.74</v>
      </c>
      <c r="D84" s="4" t="n">
        <v>28</v>
      </c>
      <c r="E84" s="4" t="n">
        <v>-12</v>
      </c>
      <c r="F84" s="1">
        <f>C84*COS(RADIANS(E84))</f>
        <v/>
      </c>
      <c r="G84" s="1">
        <f>C84*COS(RADIANS(E84)) *SIN(RADIANS(D84))</f>
        <v/>
      </c>
      <c r="H84" s="1">
        <f>C84*COS(RADIANS(E84))*COS(RADIANS(D84))</f>
        <v/>
      </c>
      <c r="I84" s="1">
        <f>C84*SIN(RADIANS(E84))</f>
        <v/>
      </c>
      <c r="J84" s="1">
        <f>C84*COS(RADIANS(E84))*COS(RADIANS(D84-180))</f>
        <v/>
      </c>
      <c r="K84" s="1">
        <f>SUM(K83+G84)</f>
        <v/>
      </c>
      <c r="L84" s="1">
        <f>SUM(L83+H84)</f>
        <v/>
      </c>
      <c r="M84" s="1">
        <f>SUM(M83+I84)</f>
        <v/>
      </c>
      <c r="N84" s="1">
        <f>SUM(J84+N83)</f>
        <v/>
      </c>
      <c r="O84" s="2">
        <f>ROUND(SUM(O83+F84),1)</f>
        <v/>
      </c>
    </row>
    <row r="85">
      <c r="A85" s="3" t="inlineStr">
        <is>
          <t>16.9</t>
        </is>
      </c>
      <c r="B85" s="3" t="inlineStr">
        <is>
          <t>16.10</t>
        </is>
      </c>
      <c r="C85" s="1" t="n">
        <v>4.55</v>
      </c>
      <c r="D85" s="4" t="n">
        <v>84</v>
      </c>
      <c r="E85" s="4" t="n">
        <v>-26</v>
      </c>
      <c r="F85" s="1">
        <f>C85*COS(RADIANS(E85))</f>
        <v/>
      </c>
      <c r="G85" s="1">
        <f>C85*COS(RADIANS(E85)) *SIN(RADIANS(D85))</f>
        <v/>
      </c>
      <c r="H85" s="1">
        <f>C85*COS(RADIANS(E85))*COS(RADIANS(D85))</f>
        <v/>
      </c>
      <c r="I85" s="1">
        <f>C85*SIN(RADIANS(E85))</f>
        <v/>
      </c>
      <c r="J85" s="1">
        <f>C85*COS(RADIANS(E85))*COS(RADIANS(D85-180))</f>
        <v/>
      </c>
      <c r="K85" s="1">
        <f>SUM(K84+G85)</f>
        <v/>
      </c>
      <c r="L85" s="1">
        <f>SUM(L84+H85)</f>
        <v/>
      </c>
      <c r="M85" s="1">
        <f>SUM(M84+I85)</f>
        <v/>
      </c>
      <c r="N85" s="1">
        <f>SUM(J85+N84)</f>
        <v/>
      </c>
      <c r="O85" s="2">
        <f>ROUND(SUM(O84+F85),1)</f>
        <v/>
      </c>
    </row>
    <row r="86">
      <c r="A86" s="3" t="inlineStr">
        <is>
          <t>16.10</t>
        </is>
      </c>
      <c r="B86" s="3" t="inlineStr">
        <is>
          <t>16.10.1</t>
        </is>
      </c>
      <c r="C86" s="1" t="n">
        <v>3.75</v>
      </c>
      <c r="D86" s="4" t="n">
        <v>95</v>
      </c>
      <c r="E86" s="4" t="n">
        <v>0</v>
      </c>
      <c r="F86" s="1">
        <f>C86*COS(RADIANS(E86))</f>
        <v/>
      </c>
      <c r="G86" s="1">
        <f>C86*COS(RADIANS(E86)) *SIN(RADIANS(D86))</f>
        <v/>
      </c>
      <c r="H86" s="1">
        <f>C86*COS(RADIANS(E86))*COS(RADIANS(D86))</f>
        <v/>
      </c>
      <c r="I86" s="1">
        <f>C86*SIN(RADIANS(E86))</f>
        <v/>
      </c>
      <c r="J86" s="1">
        <f>C86*COS(RADIANS(E86))*COS(RADIANS(D86-180))</f>
        <v/>
      </c>
      <c r="K86" s="1">
        <f>SUM(K85+G86)</f>
        <v/>
      </c>
      <c r="L86" s="1">
        <f>SUM(L85+H86)</f>
        <v/>
      </c>
      <c r="M86" s="1">
        <f>SUM(M85+I86)</f>
        <v/>
      </c>
      <c r="N86" s="1">
        <f>SUM(J86+N85)</f>
        <v/>
      </c>
      <c r="O86" s="2">
        <f>ROUND(SUM(O85+F86),1)</f>
        <v/>
      </c>
    </row>
    <row r="87">
      <c r="A87" s="3" t="n"/>
      <c r="B87" s="3" t="n"/>
      <c r="C87" s="1" t="n"/>
      <c r="D87" s="4" t="n"/>
      <c r="E87" s="4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inlineStr">
        <is>
          <t>16.10</t>
        </is>
      </c>
      <c r="C88" s="1" t="n"/>
      <c r="D88" s="4" t="n"/>
      <c r="E88" s="4" t="n"/>
      <c r="F88" s="1" t="n"/>
      <c r="G88" s="1" t="n"/>
      <c r="H88" s="1" t="n"/>
      <c r="I88" s="1" t="n"/>
      <c r="J88" s="1" t="n"/>
      <c r="K88" s="1" t="n">
        <v>-17.71095185068435</v>
      </c>
      <c r="L88" s="1" t="n">
        <v>50.85135083830495</v>
      </c>
      <c r="M88" s="1" t="n">
        <v>-3.293349360085533</v>
      </c>
      <c r="N88" s="1">
        <f>SUM(J88+N87)</f>
        <v/>
      </c>
      <c r="O88" s="2">
        <f>ROUND(SUM(O87+F88),1)</f>
        <v/>
      </c>
    </row>
    <row r="89">
      <c r="A89" s="3" t="inlineStr">
        <is>
          <t>16.10</t>
        </is>
      </c>
      <c r="B89" s="3" t="inlineStr">
        <is>
          <t>16.11</t>
        </is>
      </c>
      <c r="C89" s="1" t="n">
        <v>6.98</v>
      </c>
      <c r="D89" s="4" t="n">
        <v>357</v>
      </c>
      <c r="E89" s="4" t="n">
        <v>-25</v>
      </c>
      <c r="F89" s="1">
        <f>C89*COS(RADIANS(E89))</f>
        <v/>
      </c>
      <c r="G89" s="1">
        <f>C89*COS(RADIANS(E89)) *SIN(RADIANS(D89))</f>
        <v/>
      </c>
      <c r="H89" s="1">
        <f>C89*COS(RADIANS(E89))*COS(RADIANS(D89))</f>
        <v/>
      </c>
      <c r="I89" s="1">
        <f>C89*SIN(RADIANS(E89))</f>
        <v/>
      </c>
      <c r="J89" s="1">
        <f>C89*COS(RADIANS(E89))*COS(RADIANS(D89-180))</f>
        <v/>
      </c>
      <c r="K89" s="1">
        <f>SUM(K88+G89)</f>
        <v/>
      </c>
      <c r="L89" s="1">
        <f>SUM(L88+H89)</f>
        <v/>
      </c>
      <c r="M89" s="1">
        <f>SUM(M88+I89)</f>
        <v/>
      </c>
      <c r="N89" s="1">
        <f>SUM(J89+N88)</f>
        <v/>
      </c>
      <c r="O89" s="2">
        <f>ROUND(SUM(O88+F89),1)</f>
        <v/>
      </c>
    </row>
    <row r="90">
      <c r="A90" s="3" t="inlineStr">
        <is>
          <t>16.11</t>
        </is>
      </c>
      <c r="B90" s="3" t="inlineStr">
        <is>
          <t>16.12</t>
        </is>
      </c>
      <c r="C90" s="1" t="n">
        <v>2.29</v>
      </c>
      <c r="D90" s="4" t="n">
        <v>307</v>
      </c>
      <c r="E90" s="4" t="n">
        <v>1</v>
      </c>
      <c r="F90" s="1">
        <f>C90*COS(RADIANS(E90))</f>
        <v/>
      </c>
      <c r="G90" s="1">
        <f>C90*COS(RADIANS(E90)) *SIN(RADIANS(D90))</f>
        <v/>
      </c>
      <c r="H90" s="1">
        <f>C90*COS(RADIANS(E90))*COS(RADIANS(D90))</f>
        <v/>
      </c>
      <c r="I90" s="1">
        <f>C90*SIN(RADIANS(E90))</f>
        <v/>
      </c>
      <c r="J90" s="1">
        <f>C90*COS(RADIANS(E90))*COS(RADIANS(D90-180))</f>
        <v/>
      </c>
      <c r="K90" s="1">
        <f>SUM(K89+G90)</f>
        <v/>
      </c>
      <c r="L90" s="1">
        <f>SUM(L89+H90)</f>
        <v/>
      </c>
      <c r="M90" s="1">
        <f>SUM(M89+I90)</f>
        <v/>
      </c>
      <c r="N90" s="1">
        <f>SUM(J90+N89)</f>
        <v/>
      </c>
      <c r="O90" s="2">
        <f>ROUND(SUM(O89+F90),1)</f>
        <v/>
      </c>
    </row>
    <row r="91">
      <c r="A91" s="3" t="inlineStr">
        <is>
          <t>16.12</t>
        </is>
      </c>
      <c r="B91" s="3" t="inlineStr">
        <is>
          <t>16.13</t>
        </is>
      </c>
      <c r="C91" s="1" t="n">
        <v>3.07</v>
      </c>
      <c r="D91" s="4" t="n">
        <v>317</v>
      </c>
      <c r="E91" s="4" t="n">
        <v>13</v>
      </c>
      <c r="F91" s="1">
        <f>C91*COS(RADIANS(E91))</f>
        <v/>
      </c>
      <c r="G91" s="1">
        <f>C91*COS(RADIANS(E91)) *SIN(RADIANS(D91))</f>
        <v/>
      </c>
      <c r="H91" s="1">
        <f>C91*COS(RADIANS(E91))*COS(RADIANS(D91))</f>
        <v/>
      </c>
      <c r="I91" s="1">
        <f>C91*SIN(RADIANS(E91))</f>
        <v/>
      </c>
      <c r="J91" s="1">
        <f>C91*COS(RADIANS(E91))*COS(RADIANS(D91-180))</f>
        <v/>
      </c>
      <c r="K91" s="1">
        <f>SUM(K90+G91)</f>
        <v/>
      </c>
      <c r="L91" s="1">
        <f>SUM(L90+H91)</f>
        <v/>
      </c>
      <c r="M91" s="1">
        <f>SUM(M90+I91)</f>
        <v/>
      </c>
      <c r="N91" s="1">
        <f>SUM(J91+N90)</f>
        <v/>
      </c>
      <c r="O91" s="2">
        <f>ROUND(SUM(O90+F91),1)</f>
        <v/>
      </c>
    </row>
    <row r="92">
      <c r="A92" s="3" t="inlineStr">
        <is>
          <t>16.13</t>
        </is>
      </c>
      <c r="B92" s="3" t="inlineStr">
        <is>
          <t>16.14</t>
        </is>
      </c>
      <c r="C92" s="1" t="n">
        <v>6.3</v>
      </c>
      <c r="D92" s="4" t="n">
        <v>260</v>
      </c>
      <c r="E92" s="4" t="n">
        <v>0</v>
      </c>
      <c r="F92" s="1">
        <f>C92*COS(RADIANS(E92))</f>
        <v/>
      </c>
      <c r="G92" s="1">
        <f>C92*COS(RADIANS(E92)) *SIN(RADIANS(D92))</f>
        <v/>
      </c>
      <c r="H92" s="1">
        <f>C92*COS(RADIANS(E92))*COS(RADIANS(D92))</f>
        <v/>
      </c>
      <c r="I92" s="1">
        <f>C92*SIN(RADIANS(E92))</f>
        <v/>
      </c>
      <c r="J92" s="1">
        <f>C92*COS(RADIANS(E92))*COS(RADIANS(D92-180))</f>
        <v/>
      </c>
      <c r="K92" s="1">
        <f>SUM(K91+G92)</f>
        <v/>
      </c>
      <c r="L92" s="1">
        <f>SUM(L91+H92)</f>
        <v/>
      </c>
      <c r="M92" s="1">
        <f>SUM(M91+I92)</f>
        <v/>
      </c>
      <c r="N92" s="1">
        <f>SUM(J92+N91)</f>
        <v/>
      </c>
      <c r="O92" s="2">
        <f>ROUND(SUM(O91+F92),1)</f>
        <v/>
      </c>
    </row>
    <row r="93">
      <c r="A93" s="3" t="inlineStr">
        <is>
          <t>16.14</t>
        </is>
      </c>
      <c r="B93" s="3" t="inlineStr">
        <is>
          <t>16.15</t>
        </is>
      </c>
      <c r="C93" s="1" t="n">
        <v>1.6</v>
      </c>
      <c r="D93" s="4" t="n">
        <v>170</v>
      </c>
      <c r="E93" s="4" t="n">
        <v>0</v>
      </c>
      <c r="F93" s="1">
        <f>C93*COS(RADIANS(E93))</f>
        <v/>
      </c>
      <c r="G93" s="1">
        <f>C93*COS(RADIANS(E93)) *SIN(RADIANS(D93))</f>
        <v/>
      </c>
      <c r="H93" s="1">
        <f>C93*COS(RADIANS(E93))*COS(RADIANS(D93))</f>
        <v/>
      </c>
      <c r="I93" s="1">
        <f>C93*SIN(RADIANS(E93))</f>
        <v/>
      </c>
      <c r="J93" s="1">
        <f>C93*COS(RADIANS(E93))*COS(RADIANS(D93-180))</f>
        <v/>
      </c>
      <c r="K93" s="1">
        <f>SUM(K92+G93)</f>
        <v/>
      </c>
      <c r="L93" s="1">
        <f>SUM(L92+H93)</f>
        <v/>
      </c>
      <c r="M93" s="1">
        <f>SUM(M92+I93)</f>
        <v/>
      </c>
      <c r="N93" s="1">
        <f>SUM(J93+N92)</f>
        <v/>
      </c>
      <c r="O93" s="2">
        <f>ROUND(SUM(O92+F93),1)</f>
        <v/>
      </c>
      <c r="P93" s="1" t="inlineStr">
        <is>
          <t>azymut przybliżony</t>
        </is>
      </c>
    </row>
    <row r="94">
      <c r="A94" s="3" t="inlineStr">
        <is>
          <t>16.15</t>
        </is>
      </c>
      <c r="B94" s="3" t="inlineStr">
        <is>
          <t>16.16</t>
        </is>
      </c>
      <c r="C94" s="1" t="n">
        <v>2.4</v>
      </c>
      <c r="D94" s="4" t="n">
        <v>260</v>
      </c>
      <c r="E94" s="4" t="n">
        <v>0</v>
      </c>
      <c r="F94" s="1">
        <f>C94*COS(RADIANS(E94))</f>
        <v/>
      </c>
      <c r="G94" s="1">
        <f>C94*COS(RADIANS(E94)) *SIN(RADIANS(D94))</f>
        <v/>
      </c>
      <c r="H94" s="1">
        <f>C94*COS(RADIANS(E94))*COS(RADIANS(D94))</f>
        <v/>
      </c>
      <c r="I94" s="1">
        <f>C94*SIN(RADIANS(E94))</f>
        <v/>
      </c>
      <c r="J94" s="1">
        <f>C94*COS(RADIANS(E94))*COS(RADIANS(D94-180))</f>
        <v/>
      </c>
      <c r="K94" s="1">
        <f>SUM(K93+G94)</f>
        <v/>
      </c>
      <c r="L94" s="1">
        <f>SUM(L93+H94)</f>
        <v/>
      </c>
      <c r="M94" s="1">
        <f>SUM(M93+I94)</f>
        <v/>
      </c>
      <c r="N94" s="1">
        <f>SUM(J94+N93)</f>
        <v/>
      </c>
      <c r="O94" s="2">
        <f>ROUND(SUM(O93+F94),1)</f>
        <v/>
      </c>
      <c r="P94" s="1" t="inlineStr">
        <is>
          <t>azymut przybliżony</t>
        </is>
      </c>
    </row>
    <row r="95">
      <c r="A95" s="3" t="n"/>
      <c r="B95" s="3" t="n"/>
      <c r="C95" s="1" t="n"/>
      <c r="D95" s="4" t="n"/>
      <c r="E95" s="4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inlineStr">
        <is>
          <t>14</t>
        </is>
      </c>
      <c r="C96" s="1" t="n"/>
      <c r="D96" s="4" t="n"/>
      <c r="E96" s="4" t="n"/>
      <c r="F96" s="1" t="n"/>
      <c r="G96" s="1" t="n"/>
      <c r="H96" s="1" t="n"/>
      <c r="I96" s="1" t="n"/>
      <c r="J96" s="1" t="n"/>
      <c r="K96" s="1" t="n">
        <v>-15.59931428105748</v>
      </c>
      <c r="L96" s="1" t="n">
        <v>31.63985182939108</v>
      </c>
      <c r="M96" s="1" t="n">
        <v>-0.3311676880586495</v>
      </c>
      <c r="N96" s="1">
        <f>SUM(J96+N95)</f>
        <v/>
      </c>
      <c r="O96" s="2">
        <f>ROUND(SUM(O95+F96),1)</f>
        <v/>
      </c>
      <c r="P96" t="inlineStr">
        <is>
          <t>20.12.2008</t>
        </is>
      </c>
    </row>
    <row r="97">
      <c r="A97" s="3" t="inlineStr">
        <is>
          <t>14</t>
        </is>
      </c>
      <c r="B97" s="3" t="inlineStr">
        <is>
          <t>14.1</t>
        </is>
      </c>
      <c r="C97" s="1" t="n">
        <v>5.4</v>
      </c>
      <c r="D97" s="4" t="n">
        <v>0</v>
      </c>
      <c r="E97" s="4" t="n">
        <v>90</v>
      </c>
      <c r="F97" s="1">
        <f>C97*COS(RADIANS(E97))</f>
        <v/>
      </c>
      <c r="G97" s="1">
        <f>C97*COS(RADIANS(E97)) *SIN(RADIANS(D97))</f>
        <v/>
      </c>
      <c r="H97" s="1">
        <f>C97*COS(RADIANS(E97))*COS(RADIANS(D97))</f>
        <v/>
      </c>
      <c r="I97" s="1">
        <f>C97*SIN(RADIANS(E97))</f>
        <v/>
      </c>
      <c r="J97" s="1">
        <f>C97*COS(RADIANS(E97))*COS(RADIANS(D97-180))</f>
        <v/>
      </c>
      <c r="K97" s="1">
        <f>SUM(K96+G97)</f>
        <v/>
      </c>
      <c r="L97" s="1">
        <f>SUM(L96+H97)</f>
        <v/>
      </c>
      <c r="M97" s="1">
        <f>SUM(M96+I97)</f>
        <v/>
      </c>
      <c r="N97" s="1">
        <f>SUM(J97+N96)</f>
        <v/>
      </c>
      <c r="O97" s="2">
        <f>ROUND(SUM(O96+F97),1)</f>
        <v/>
      </c>
    </row>
    <row r="98">
      <c r="A98" s="3" t="inlineStr">
        <is>
          <t>14.1</t>
        </is>
      </c>
      <c r="B98" s="3" t="inlineStr">
        <is>
          <t>14.2</t>
        </is>
      </c>
      <c r="C98" s="1" t="n">
        <v>1.5</v>
      </c>
      <c r="D98" s="4" t="n">
        <v>318</v>
      </c>
      <c r="E98" s="4" t="n">
        <v>15</v>
      </c>
      <c r="F98" s="1">
        <f>C98*COS(RADIANS(E98))</f>
        <v/>
      </c>
      <c r="G98" s="1">
        <f>C98*COS(RADIANS(E98)) *SIN(RADIANS(D98))</f>
        <v/>
      </c>
      <c r="H98" s="1">
        <f>C98*COS(RADIANS(E98))*COS(RADIANS(D98))</f>
        <v/>
      </c>
      <c r="I98" s="1">
        <f>C98*SIN(RADIANS(E98))</f>
        <v/>
      </c>
      <c r="J98" s="1">
        <f>C98*COS(RADIANS(E98))*COS(RADIANS(D98-180))</f>
        <v/>
      </c>
      <c r="K98" s="1">
        <f>SUM(K97+G98)</f>
        <v/>
      </c>
      <c r="L98" s="1">
        <f>SUM(L97+H98)</f>
        <v/>
      </c>
      <c r="M98" s="1">
        <f>SUM(M97+I98)</f>
        <v/>
      </c>
      <c r="N98" s="1">
        <f>SUM(J98+N97)</f>
        <v/>
      </c>
      <c r="O98" s="2">
        <f>ROUND(SUM(O97+F98),1)</f>
        <v/>
      </c>
    </row>
    <row r="99">
      <c r="A99" s="3" t="inlineStr">
        <is>
          <t>14.2</t>
        </is>
      </c>
      <c r="B99" s="3" t="inlineStr">
        <is>
          <t>14.2'</t>
        </is>
      </c>
      <c r="C99" s="1" t="n">
        <v>3.15</v>
      </c>
      <c r="D99" s="4" t="n">
        <v>333</v>
      </c>
      <c r="E99" s="4" t="n">
        <v>-8</v>
      </c>
      <c r="F99" s="1">
        <f>C99*COS(RADIANS(E99))</f>
        <v/>
      </c>
      <c r="G99" s="1">
        <f>C99*COS(RADIANS(E99)) *SIN(RADIANS(D99))</f>
        <v/>
      </c>
      <c r="H99" s="1">
        <f>C99*COS(RADIANS(E99))*COS(RADIANS(D99))</f>
        <v/>
      </c>
      <c r="I99" s="1">
        <f>C99*SIN(RADIANS(E99))</f>
        <v/>
      </c>
      <c r="J99" s="1">
        <f>C99*COS(RADIANS(E99))*COS(RADIANS(D99-180))</f>
        <v/>
      </c>
      <c r="K99" s="1">
        <f>SUM(K98+G99)</f>
        <v/>
      </c>
      <c r="L99" s="1">
        <f>SUM(L98+H99)</f>
        <v/>
      </c>
      <c r="M99" s="1">
        <f>SUM(M98+I99)</f>
        <v/>
      </c>
      <c r="N99" s="1">
        <f>SUM(J99+N98)</f>
        <v/>
      </c>
      <c r="O99" s="2">
        <f>ROUND(SUM(O98+F99),1)</f>
        <v/>
      </c>
    </row>
    <row r="100">
      <c r="A100" s="3" t="inlineStr">
        <is>
          <t>14.2'</t>
        </is>
      </c>
      <c r="B100" s="3" t="inlineStr">
        <is>
          <t>14.2''</t>
        </is>
      </c>
      <c r="C100" s="1" t="n">
        <v>2</v>
      </c>
      <c r="D100" s="4" t="n">
        <v>50</v>
      </c>
      <c r="E100" s="4" t="n">
        <v>5</v>
      </c>
      <c r="F100" s="1">
        <f>C100*COS(RADIANS(E100))</f>
        <v/>
      </c>
      <c r="G100" s="1">
        <f>C100*COS(RADIANS(E100)) *SIN(RADIANS(D100))</f>
        <v/>
      </c>
      <c r="H100" s="1">
        <f>C100*COS(RADIANS(E100))*COS(RADIANS(D100))</f>
        <v/>
      </c>
      <c r="I100" s="1">
        <f>C100*SIN(RADIANS(E100))</f>
        <v/>
      </c>
      <c r="J100" s="1">
        <f>C100*COS(RADIANS(E100))*COS(RADIANS(D100-180))</f>
        <v/>
      </c>
      <c r="K100" s="1">
        <f>SUM(K99+G100)</f>
        <v/>
      </c>
      <c r="L100" s="1">
        <f>SUM(L99+H100)</f>
        <v/>
      </c>
      <c r="M100" s="1">
        <f>SUM(M99+I100)</f>
        <v/>
      </c>
      <c r="N100" s="1">
        <f>SUM(J100+N99)</f>
        <v/>
      </c>
      <c r="O100" s="2">
        <f>ROUND(SUM(O99+F100),1)</f>
        <v/>
      </c>
    </row>
    <row r="101">
      <c r="A101" s="3" t="n"/>
      <c r="B101" s="3" t="n"/>
      <c r="C101" s="1" t="n"/>
      <c r="D101" s="4" t="n"/>
      <c r="E101" s="4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2" t="n"/>
    </row>
    <row r="102">
      <c r="A102" s="3" t="n"/>
      <c r="B102" s="3" t="inlineStr">
        <is>
          <t>14.2</t>
        </is>
      </c>
      <c r="C102" s="1" t="n"/>
      <c r="D102" s="4" t="n"/>
      <c r="E102" s="4" t="n"/>
      <c r="F102" s="1" t="n"/>
      <c r="G102" s="1" t="n"/>
      <c r="H102" s="1" t="n"/>
      <c r="I102" s="1" t="n"/>
      <c r="J102" s="1" t="n"/>
      <c r="K102" s="1" t="n">
        <v>-16.56881008182121</v>
      </c>
      <c r="L102" s="1" t="n">
        <v>32.71658599879363</v>
      </c>
      <c r="M102" s="1" t="n">
        <v>5.457060879595131</v>
      </c>
      <c r="N102" s="1">
        <f>SUM(J102+N101)</f>
        <v/>
      </c>
      <c r="O102" s="2">
        <f>ROUND(SUM(O101+F102),1)</f>
        <v/>
      </c>
    </row>
    <row r="103">
      <c r="A103" s="3" t="inlineStr">
        <is>
          <t>14.2</t>
        </is>
      </c>
      <c r="B103" s="3" t="inlineStr">
        <is>
          <t>14.3</t>
        </is>
      </c>
      <c r="C103" s="1" t="n">
        <v>4.62</v>
      </c>
      <c r="D103" s="4" t="n">
        <v>204</v>
      </c>
      <c r="E103" s="4" t="n">
        <v>27</v>
      </c>
      <c r="F103" s="1">
        <f>C103*COS(RADIANS(E103))</f>
        <v/>
      </c>
      <c r="G103" s="1">
        <f>C103*COS(RADIANS(E103)) *SIN(RADIANS(D103))</f>
        <v/>
      </c>
      <c r="H103" s="1">
        <f>C103*COS(RADIANS(E103))*COS(RADIANS(D103))</f>
        <v/>
      </c>
      <c r="I103" s="1">
        <f>C103*SIN(RADIANS(E103))</f>
        <v/>
      </c>
      <c r="J103" s="1">
        <f>C103*COS(RADIANS(E103))*COS(RADIANS(D103-180))</f>
        <v/>
      </c>
      <c r="K103" s="1">
        <f>SUM(K102+G103)</f>
        <v/>
      </c>
      <c r="L103" s="1">
        <f>SUM(L102+H103)</f>
        <v/>
      </c>
      <c r="M103" s="1">
        <f>SUM(M102+I103)</f>
        <v/>
      </c>
      <c r="N103" s="1">
        <f>SUM(J103+N102)</f>
        <v/>
      </c>
      <c r="O103" s="2">
        <f>ROUND(SUM(O102+F103),1)</f>
        <v/>
      </c>
    </row>
    <row r="104">
      <c r="A104" s="3" t="inlineStr">
        <is>
          <t>14.3</t>
        </is>
      </c>
      <c r="B104" s="3" t="inlineStr">
        <is>
          <t>14.4</t>
        </is>
      </c>
      <c r="C104" s="1" t="n">
        <v>3.5</v>
      </c>
      <c r="D104" s="4" t="n">
        <v>141</v>
      </c>
      <c r="E104" s="4" t="n">
        <v>26</v>
      </c>
      <c r="F104" s="1">
        <f>C104*COS(RADIANS(E104))</f>
        <v/>
      </c>
      <c r="G104" s="1">
        <f>C104*COS(RADIANS(E104)) *SIN(RADIANS(D104))</f>
        <v/>
      </c>
      <c r="H104" s="1">
        <f>C104*COS(RADIANS(E104))*COS(RADIANS(D104))</f>
        <v/>
      </c>
      <c r="I104" s="1">
        <f>C104*SIN(RADIANS(E104))</f>
        <v/>
      </c>
      <c r="J104" s="1">
        <f>C104*COS(RADIANS(E104))*COS(RADIANS(D104-180))</f>
        <v/>
      </c>
      <c r="K104" s="1">
        <f>SUM(K103+G104)</f>
        <v/>
      </c>
      <c r="L104" s="1">
        <f>SUM(L103+H104)</f>
        <v/>
      </c>
      <c r="M104" s="1">
        <f>SUM(M103+I104)</f>
        <v/>
      </c>
      <c r="N104" s="1">
        <f>SUM(J104+N103)</f>
        <v/>
      </c>
      <c r="O104" s="2">
        <f>ROUND(SUM(O103+F104),1)</f>
        <v/>
      </c>
    </row>
    <row r="105">
      <c r="A105" s="3" t="inlineStr">
        <is>
          <t>14.4</t>
        </is>
      </c>
      <c r="B105" s="3" t="inlineStr">
        <is>
          <t>14.5</t>
        </is>
      </c>
      <c r="C105" s="1" t="n">
        <v>2.5</v>
      </c>
      <c r="D105" s="4" t="n">
        <v>230</v>
      </c>
      <c r="E105" s="4" t="n">
        <v>-15</v>
      </c>
      <c r="F105" s="1">
        <f>C105*COS(RADIANS(E105))</f>
        <v/>
      </c>
      <c r="G105" s="1">
        <f>C105*COS(RADIANS(E105)) *SIN(RADIANS(D105))</f>
        <v/>
      </c>
      <c r="H105" s="1">
        <f>C105*COS(RADIANS(E105))*COS(RADIANS(D105))</f>
        <v/>
      </c>
      <c r="I105" s="1">
        <f>C105*SIN(RADIANS(E105))</f>
        <v/>
      </c>
      <c r="J105" s="1">
        <f>C105*COS(RADIANS(E105))*COS(RADIANS(D105-180))</f>
        <v/>
      </c>
      <c r="K105" s="1">
        <f>SUM(K104+G105)</f>
        <v/>
      </c>
      <c r="L105" s="1">
        <f>SUM(L104+H105)</f>
        <v/>
      </c>
      <c r="M105" s="1">
        <f>SUM(M104+I105)</f>
        <v/>
      </c>
      <c r="N105" s="1">
        <f>SUM(J105+N104)</f>
        <v/>
      </c>
      <c r="O105" s="2">
        <f>ROUND(SUM(O104+F105),1)</f>
        <v/>
      </c>
    </row>
    <row r="106">
      <c r="A106" s="3" t="inlineStr">
        <is>
          <t>14.5</t>
        </is>
      </c>
      <c r="B106" s="3" t="inlineStr">
        <is>
          <t>14.5.1</t>
        </is>
      </c>
      <c r="C106" s="1" t="n">
        <v>3</v>
      </c>
      <c r="D106" s="4" t="n">
        <v>107</v>
      </c>
      <c r="E106" s="4" t="n">
        <v>0</v>
      </c>
      <c r="F106" s="1">
        <f>C106*COS(RADIANS(E106))</f>
        <v/>
      </c>
      <c r="G106" s="1">
        <f>C106*COS(RADIANS(E106)) *SIN(RADIANS(D106))</f>
        <v/>
      </c>
      <c r="H106" s="1">
        <f>C106*COS(RADIANS(E106))*COS(RADIANS(D106))</f>
        <v/>
      </c>
      <c r="I106" s="1">
        <f>C106*SIN(RADIANS(E106))</f>
        <v/>
      </c>
      <c r="J106" s="1">
        <f>C106*COS(RADIANS(E106))*COS(RADIANS(D106-180))</f>
        <v/>
      </c>
      <c r="K106" s="1">
        <f>SUM(K105+G106)</f>
        <v/>
      </c>
      <c r="L106" s="1">
        <f>SUM(L105+H106)</f>
        <v/>
      </c>
      <c r="M106" s="1">
        <f>SUM(M105+I106)</f>
        <v/>
      </c>
      <c r="N106" s="1">
        <f>SUM(J106+N105)</f>
        <v/>
      </c>
      <c r="O106" s="2">
        <f>ROUND(SUM(O105+F106),1)</f>
        <v/>
      </c>
    </row>
    <row r="107">
      <c r="A107" s="3" t="n"/>
      <c r="B107" s="3" t="n"/>
      <c r="C107" s="1" t="n"/>
      <c r="D107" s="4" t="n"/>
      <c r="E107" s="4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2" t="n"/>
    </row>
    <row r="108">
      <c r="A108" s="3" t="n"/>
      <c r="B108" s="3" t="inlineStr">
        <is>
          <t>14.5</t>
        </is>
      </c>
      <c r="C108" s="1" t="n"/>
      <c r="D108" s="4" t="n"/>
      <c r="E108" s="4" t="n"/>
      <c r="F108" s="1" t="n"/>
      <c r="G108" s="1" t="n"/>
      <c r="H108" s="1" t="n"/>
      <c r="I108" s="1" t="n"/>
      <c r="J108" s="1" t="n"/>
      <c r="K108" s="1" t="n">
        <v>-18.11327350068433</v>
      </c>
      <c r="L108" s="1" t="n">
        <v>24.95907921622794</v>
      </c>
      <c r="M108" s="1" t="n">
        <v>8.441748389397306</v>
      </c>
      <c r="N108" s="1">
        <f>SUM(J108+N107)</f>
        <v/>
      </c>
      <c r="O108" s="2">
        <f>ROUND(SUM(O107+F108),1)</f>
        <v/>
      </c>
    </row>
    <row r="109">
      <c r="A109" s="3" t="inlineStr">
        <is>
          <t>14.5</t>
        </is>
      </c>
      <c r="B109" s="3" t="inlineStr">
        <is>
          <t>14.6</t>
        </is>
      </c>
      <c r="C109" s="1" t="n">
        <v>3.25</v>
      </c>
      <c r="D109" s="4" t="n">
        <v>241</v>
      </c>
      <c r="E109" s="4" t="n">
        <v>18</v>
      </c>
      <c r="F109" s="1">
        <f>C109*COS(RADIANS(E109))</f>
        <v/>
      </c>
      <c r="G109" s="1">
        <f>C109*COS(RADIANS(E109)) *SIN(RADIANS(D109))</f>
        <v/>
      </c>
      <c r="H109" s="1">
        <f>C109*COS(RADIANS(E109))*COS(RADIANS(D109))</f>
        <v/>
      </c>
      <c r="I109" s="1">
        <f>C109*SIN(RADIANS(E109))</f>
        <v/>
      </c>
      <c r="J109" s="1">
        <f>C109*COS(RADIANS(E109))*COS(RADIANS(D109-180))</f>
        <v/>
      </c>
      <c r="K109" s="1">
        <f>SUM(K108+G109)</f>
        <v/>
      </c>
      <c r="L109" s="1">
        <f>SUM(L108+H109)</f>
        <v/>
      </c>
      <c r="M109" s="1">
        <f>SUM(M108+I109)</f>
        <v/>
      </c>
      <c r="N109" s="1">
        <f>SUM(J109+N108)</f>
        <v/>
      </c>
      <c r="O109" s="2">
        <f>ROUND(SUM(O108+F109),1)</f>
        <v/>
      </c>
    </row>
    <row r="110">
      <c r="A110" s="3" t="inlineStr">
        <is>
          <t>14.6</t>
        </is>
      </c>
      <c r="B110" s="3" t="inlineStr">
        <is>
          <t>14.7</t>
        </is>
      </c>
      <c r="C110" s="1" t="n">
        <v>3.5</v>
      </c>
      <c r="D110" s="4" t="n">
        <v>178</v>
      </c>
      <c r="E110" s="4" t="n">
        <v>28</v>
      </c>
      <c r="F110" s="1">
        <f>C110*COS(RADIANS(E110))</f>
        <v/>
      </c>
      <c r="G110" s="1">
        <f>C110*COS(RADIANS(E110)) *SIN(RADIANS(D110))</f>
        <v/>
      </c>
      <c r="H110" s="1">
        <f>C110*COS(RADIANS(E110))*COS(RADIANS(D110))</f>
        <v/>
      </c>
      <c r="I110" s="1">
        <f>C110*SIN(RADIANS(E110))</f>
        <v/>
      </c>
      <c r="J110" s="1">
        <f>C110*COS(RADIANS(E110))*COS(RADIANS(D110-180))</f>
        <v/>
      </c>
      <c r="K110" s="1">
        <f>SUM(K109+G110)</f>
        <v/>
      </c>
      <c r="L110" s="1">
        <f>SUM(L109+H110)</f>
        <v/>
      </c>
      <c r="M110" s="1">
        <f>SUM(M109+I110)</f>
        <v/>
      </c>
      <c r="N110" s="1">
        <f>SUM(J110+N109)</f>
        <v/>
      </c>
      <c r="O110" s="2">
        <f>ROUND(SUM(O109+F110),1)</f>
        <v/>
      </c>
    </row>
    <row r="111">
      <c r="A111" s="3" t="inlineStr">
        <is>
          <t>14.7</t>
        </is>
      </c>
      <c r="B111" s="3" t="inlineStr">
        <is>
          <t>14.8</t>
        </is>
      </c>
      <c r="C111" s="1" t="n">
        <v>2.8</v>
      </c>
      <c r="D111" s="4" t="n">
        <v>145</v>
      </c>
      <c r="E111" s="4" t="n">
        <v>28</v>
      </c>
      <c r="F111" s="1">
        <f>C111*COS(RADIANS(E111))</f>
        <v/>
      </c>
      <c r="G111" s="1">
        <f>C111*COS(RADIANS(E111)) *SIN(RADIANS(D111))</f>
        <v/>
      </c>
      <c r="H111" s="1">
        <f>C111*COS(RADIANS(E111))*COS(RADIANS(D111))</f>
        <v/>
      </c>
      <c r="I111" s="1">
        <f>C111*SIN(RADIANS(E111))</f>
        <v/>
      </c>
      <c r="J111" s="1">
        <f>C111*COS(RADIANS(E111))*COS(RADIANS(D111-180))</f>
        <v/>
      </c>
      <c r="K111" s="1">
        <f>SUM(K110+G111)</f>
        <v/>
      </c>
      <c r="L111" s="1">
        <f>SUM(L110+H111)</f>
        <v/>
      </c>
      <c r="M111" s="1">
        <f>SUM(M110+I111)</f>
        <v/>
      </c>
      <c r="N111" s="1">
        <f>SUM(J111+N110)</f>
        <v/>
      </c>
      <c r="O111" s="2">
        <f>ROUND(SUM(O110+F111),1)</f>
        <v/>
      </c>
    </row>
    <row r="112">
      <c r="A112" s="3" t="inlineStr">
        <is>
          <t>14.8</t>
        </is>
      </c>
      <c r="B112" s="3" t="inlineStr">
        <is>
          <t>14.9</t>
        </is>
      </c>
      <c r="C112" s="1" t="n">
        <v>3</v>
      </c>
      <c r="D112" s="4" t="n">
        <v>75</v>
      </c>
      <c r="E112" s="4" t="n">
        <v>10</v>
      </c>
      <c r="F112" s="1">
        <f>C112*COS(RADIANS(E112))</f>
        <v/>
      </c>
      <c r="G112" s="1">
        <f>C112*COS(RADIANS(E112)) *SIN(RADIANS(D112))</f>
        <v/>
      </c>
      <c r="H112" s="1">
        <f>C112*COS(RADIANS(E112))*COS(RADIANS(D112))</f>
        <v/>
      </c>
      <c r="I112" s="1">
        <f>C112*SIN(RADIANS(E112))</f>
        <v/>
      </c>
      <c r="J112" s="1">
        <f>C112*COS(RADIANS(E112))*COS(RADIANS(D112-180))</f>
        <v/>
      </c>
      <c r="K112" s="1">
        <f>SUM(K111+G112)</f>
        <v/>
      </c>
      <c r="L112" s="1">
        <f>SUM(L111+H112)</f>
        <v/>
      </c>
      <c r="M112" s="1">
        <f>SUM(M111+I112)</f>
        <v/>
      </c>
      <c r="N112" s="1">
        <f>SUM(J112+N111)</f>
        <v/>
      </c>
      <c r="O112" s="2">
        <f>ROUND(SUM(O111+F112),1)</f>
        <v/>
      </c>
    </row>
    <row r="113">
      <c r="A113" s="3" t="n"/>
      <c r="B113" s="3" t="n"/>
      <c r="C113" s="1" t="n">
        <v>5</v>
      </c>
      <c r="D113" s="4" t="n"/>
      <c r="E113" s="4" t="n">
        <v>25</v>
      </c>
      <c r="F113" s="1">
        <f>C113*COS(RADIANS(E113))</f>
        <v/>
      </c>
      <c r="G113" s="1">
        <f>C113*COS(RADIANS(E113)) *SIN(RADIANS(D113))</f>
        <v/>
      </c>
      <c r="H113" s="1">
        <f>C113*COS(RADIANS(E113))*COS(RADIANS(D113))</f>
        <v/>
      </c>
      <c r="I113" s="1">
        <f>C113*SIN(RADIANS(E113))</f>
        <v/>
      </c>
      <c r="J113" s="1">
        <f>C113*COS(RADIANS(E113))*COS(RADIANS(D113-180))</f>
        <v/>
      </c>
      <c r="K113" s="1">
        <f>SUM(K112+G113)</f>
        <v/>
      </c>
      <c r="L113" s="1">
        <f>SUM(L112+H113)</f>
        <v/>
      </c>
      <c r="M113" s="1">
        <f>SUM(M112+I113)</f>
        <v/>
      </c>
      <c r="N113" s="1">
        <f>SUM(J113+N112)</f>
        <v/>
      </c>
      <c r="O113" s="2">
        <f>ROUND(SUM(O112+F113),1)</f>
        <v/>
      </c>
    </row>
    <row r="114">
      <c r="A114" s="3" t="n"/>
      <c r="B114" s="3" t="n"/>
      <c r="C114" s="1" t="n"/>
      <c r="D114" s="4" t="n"/>
      <c r="E114" s="4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2" t="n"/>
    </row>
    <row r="115">
      <c r="A115" s="3" t="n"/>
      <c r="B115" s="3" t="inlineStr">
        <is>
          <t>14.8</t>
        </is>
      </c>
      <c r="C115" s="1" t="n"/>
      <c r="D115" s="4" t="n"/>
      <c r="E115" s="4" t="n"/>
      <c r="F115" s="1" t="n"/>
      <c r="G115" s="1" t="n"/>
      <c r="H115" s="1" t="n"/>
      <c r="I115" s="1" t="n"/>
      <c r="J115" s="1" t="n"/>
      <c r="K115" s="1" t="n">
        <v>-19.29078830113831</v>
      </c>
      <c r="L115" s="1" t="n">
        <v>18.34697948403038</v>
      </c>
      <c r="M115" s="1" t="n">
        <v>12.403724466667</v>
      </c>
      <c r="N115" s="1">
        <f>SUM(J115+N114)</f>
        <v/>
      </c>
      <c r="O115" s="2">
        <f>ROUND(SUM(O114+F115),1)</f>
        <v/>
      </c>
    </row>
    <row r="116">
      <c r="A116" s="3" t="inlineStr">
        <is>
          <t>14.8</t>
        </is>
      </c>
      <c r="B116" s="3" t="inlineStr">
        <is>
          <t>14.8.1</t>
        </is>
      </c>
      <c r="C116" s="1" t="n">
        <v>3</v>
      </c>
      <c r="D116" s="4" t="n">
        <v>255</v>
      </c>
      <c r="E116" s="4" t="n">
        <v>40</v>
      </c>
      <c r="F116" s="1">
        <f>C116*COS(RADIANS(E116))</f>
        <v/>
      </c>
      <c r="G116" s="1">
        <f>C116*COS(RADIANS(E116)) *SIN(RADIANS(D116))</f>
        <v/>
      </c>
      <c r="H116" s="1">
        <f>C116*COS(RADIANS(E116))*COS(RADIANS(D116))</f>
        <v/>
      </c>
      <c r="I116" s="1">
        <f>C116*SIN(RADIANS(E116))</f>
        <v/>
      </c>
      <c r="J116" s="1">
        <f>C116*COS(RADIANS(E116))*COS(RADIANS(D116-180))</f>
        <v/>
      </c>
      <c r="K116" s="1">
        <f>SUM(K115+G116)</f>
        <v/>
      </c>
      <c r="L116" s="1">
        <f>SUM(L115+H116)</f>
        <v/>
      </c>
      <c r="M116" s="1">
        <f>SUM(M115+I116)</f>
        <v/>
      </c>
      <c r="N116" s="1">
        <f>SUM(J116+N115)</f>
        <v/>
      </c>
      <c r="O116" s="2">
        <f>ROUND(SUM(O115+F116),1)</f>
        <v/>
      </c>
    </row>
    <row r="117">
      <c r="A117" s="3" t="n"/>
      <c r="B117" s="3" t="n"/>
      <c r="C117" s="1" t="n"/>
      <c r="D117" s="4" t="n"/>
      <c r="E117" s="4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2" t="n"/>
    </row>
    <row r="118">
      <c r="A118" s="3" t="n"/>
      <c r="B118" s="3" t="inlineStr">
        <is>
          <t>14.2</t>
        </is>
      </c>
      <c r="C118" s="1" t="n"/>
      <c r="D118" s="4" t="n"/>
      <c r="E118" s="4" t="n"/>
      <c r="F118" s="1" t="n"/>
      <c r="G118" s="1" t="n"/>
      <c r="H118" s="1" t="n"/>
      <c r="I118" s="1" t="n"/>
      <c r="J118" s="1" t="n"/>
      <c r="K118" s="1" t="n">
        <v>-16.56881008182121</v>
      </c>
      <c r="L118" s="1" t="n">
        <v>32.71658599879363</v>
      </c>
      <c r="M118" s="1" t="n">
        <v>5.457060879595131</v>
      </c>
      <c r="N118" s="1">
        <f>SUM(J118+N117)</f>
        <v/>
      </c>
      <c r="O118" s="2">
        <f>ROUND(SUM(O117+F118),1)</f>
        <v/>
      </c>
    </row>
    <row r="119">
      <c r="A119" s="3" t="inlineStr">
        <is>
          <t>14.2</t>
        </is>
      </c>
      <c r="B119" s="3" t="inlineStr">
        <is>
          <t>14.2.1</t>
        </is>
      </c>
      <c r="C119" s="1" t="n">
        <v>1.85</v>
      </c>
      <c r="D119" s="4" t="n">
        <v>133</v>
      </c>
      <c r="E119" s="4" t="n">
        <v>50</v>
      </c>
      <c r="F119" s="1">
        <f>C119*COS(RADIANS(E119))</f>
        <v/>
      </c>
      <c r="G119" s="1">
        <f>C119*COS(RADIANS(E119)) *SIN(RADIANS(D119))</f>
        <v/>
      </c>
      <c r="H119" s="1">
        <f>C119*COS(RADIANS(E119))*COS(RADIANS(D119))</f>
        <v/>
      </c>
      <c r="I119" s="1">
        <f>C119*SIN(RADIANS(E119))</f>
        <v/>
      </c>
      <c r="J119" s="1">
        <f>C119*COS(RADIANS(E119))*COS(RADIANS(D119-180))</f>
        <v/>
      </c>
      <c r="K119" s="1">
        <f>SUM(K118+G119)</f>
        <v/>
      </c>
      <c r="L119" s="1">
        <f>SUM(L118+H119)</f>
        <v/>
      </c>
      <c r="M119" s="1">
        <f>SUM(M118+I119)</f>
        <v/>
      </c>
      <c r="N119" s="1">
        <f>SUM(J119+N118)</f>
        <v/>
      </c>
      <c r="O119" s="2">
        <f>ROUND(SUM(O118+F119),1)</f>
        <v/>
      </c>
    </row>
    <row r="120">
      <c r="A120" s="3" t="inlineStr">
        <is>
          <t>14.2.1</t>
        </is>
      </c>
      <c r="B120" s="3" t="inlineStr">
        <is>
          <t>14.2.2</t>
        </is>
      </c>
      <c r="C120" s="1" t="n">
        <v>3.25</v>
      </c>
      <c r="D120" s="4" t="n">
        <v>104</v>
      </c>
      <c r="E120" s="4" t="n">
        <v>34</v>
      </c>
      <c r="F120" s="1">
        <f>C120*COS(RADIANS(E120))</f>
        <v/>
      </c>
      <c r="G120" s="1">
        <f>C120*COS(RADIANS(E120)) *SIN(RADIANS(D120))</f>
        <v/>
      </c>
      <c r="H120" s="1">
        <f>C120*COS(RADIANS(E120))*COS(RADIANS(D120))</f>
        <v/>
      </c>
      <c r="I120" s="1">
        <f>C120*SIN(RADIANS(E120))</f>
        <v/>
      </c>
      <c r="J120" s="1">
        <f>C120*COS(RADIANS(E120))*COS(RADIANS(D120-180))</f>
        <v/>
      </c>
      <c r="K120" s="1">
        <f>SUM(K119+G120)</f>
        <v/>
      </c>
      <c r="L120" s="1">
        <f>SUM(L119+H120)</f>
        <v/>
      </c>
      <c r="M120" s="1">
        <f>SUM(M119+I120)</f>
        <v/>
      </c>
      <c r="N120" s="1">
        <f>SUM(J120+N119)</f>
        <v/>
      </c>
      <c r="O120" s="2">
        <f>ROUND(SUM(O119+F120),1)</f>
        <v/>
      </c>
    </row>
    <row r="121">
      <c r="A121" s="3" t="inlineStr">
        <is>
          <t>14.2.2</t>
        </is>
      </c>
      <c r="B121" s="3" t="inlineStr">
        <is>
          <t>14.2.3</t>
        </is>
      </c>
      <c r="C121" s="1" t="n">
        <v>3.6</v>
      </c>
      <c r="D121" s="4" t="n">
        <v>168</v>
      </c>
      <c r="E121" s="4" t="n">
        <v>25</v>
      </c>
      <c r="F121" s="1">
        <f>C121*COS(RADIANS(E121))</f>
        <v/>
      </c>
      <c r="G121" s="1">
        <f>C121*COS(RADIANS(E121)) *SIN(RADIANS(D121))</f>
        <v/>
      </c>
      <c r="H121" s="1">
        <f>C121*COS(RADIANS(E121))*COS(RADIANS(D121))</f>
        <v/>
      </c>
      <c r="I121" s="1">
        <f>C121*SIN(RADIANS(E121))</f>
        <v/>
      </c>
      <c r="J121" s="1">
        <f>C121*COS(RADIANS(E121))*COS(RADIANS(D121-180))</f>
        <v/>
      </c>
      <c r="K121" s="1">
        <f>SUM(K120+G121)</f>
        <v/>
      </c>
      <c r="L121" s="1">
        <f>SUM(L120+H121)</f>
        <v/>
      </c>
      <c r="M121" s="1">
        <f>SUM(M120+I121)</f>
        <v/>
      </c>
      <c r="N121" s="1">
        <f>SUM(J121+N120)</f>
        <v/>
      </c>
      <c r="O121" s="2">
        <f>ROUND(SUM(O120+F121),1)</f>
        <v/>
      </c>
    </row>
    <row r="122">
      <c r="A122" s="3" t="inlineStr">
        <is>
          <t>14.2.3</t>
        </is>
      </c>
      <c r="B122" s="3" t="inlineStr">
        <is>
          <t>14.2.4</t>
        </is>
      </c>
      <c r="C122" s="1" t="n">
        <v>1.78</v>
      </c>
      <c r="D122" s="4" t="n">
        <v>150</v>
      </c>
      <c r="E122" s="4" t="n">
        <v>25</v>
      </c>
      <c r="F122" s="1">
        <f>C122*COS(RADIANS(E122))</f>
        <v/>
      </c>
      <c r="G122" s="1">
        <f>C122*COS(RADIANS(E122)) *SIN(RADIANS(D122))</f>
        <v/>
      </c>
      <c r="H122" s="1">
        <f>C122*COS(RADIANS(E122))*COS(RADIANS(D122))</f>
        <v/>
      </c>
      <c r="I122" s="1">
        <f>C122*SIN(RADIANS(E122))</f>
        <v/>
      </c>
      <c r="J122" s="1">
        <f>C122*COS(RADIANS(E122))*COS(RADIANS(D122-180))</f>
        <v/>
      </c>
      <c r="K122" s="1">
        <f>SUM(K121+G122)</f>
        <v/>
      </c>
      <c r="L122" s="1">
        <f>SUM(L121+H122)</f>
        <v/>
      </c>
      <c r="M122" s="1">
        <f>SUM(M121+I122)</f>
        <v/>
      </c>
      <c r="N122" s="1">
        <f>SUM(J122+N121)</f>
        <v/>
      </c>
      <c r="O122" s="2">
        <f>ROUND(SUM(O121+F122),1)</f>
        <v/>
      </c>
    </row>
    <row r="123">
      <c r="A123" s="3" t="inlineStr">
        <is>
          <t>14.2.4</t>
        </is>
      </c>
      <c r="B123" s="3" t="inlineStr">
        <is>
          <t>14.2.5</t>
        </is>
      </c>
      <c r="C123" s="1" t="n">
        <v>1.5</v>
      </c>
      <c r="D123" s="4" t="n">
        <v>130</v>
      </c>
      <c r="E123" s="4" t="n">
        <v>0</v>
      </c>
      <c r="F123" s="1">
        <f>C123*COS(RADIANS(E123))</f>
        <v/>
      </c>
      <c r="G123" s="1">
        <f>C123*COS(RADIANS(E123)) *SIN(RADIANS(D123))</f>
        <v/>
      </c>
      <c r="H123" s="1">
        <f>C123*COS(RADIANS(E123))*COS(RADIANS(D123))</f>
        <v/>
      </c>
      <c r="I123" s="1">
        <f>C123*SIN(RADIANS(E123))</f>
        <v/>
      </c>
      <c r="J123" s="1">
        <f>C123*COS(RADIANS(E123))*COS(RADIANS(D123-180))</f>
        <v/>
      </c>
      <c r="K123" s="1">
        <f>SUM(K122+G123)</f>
        <v/>
      </c>
      <c r="L123" s="1">
        <f>SUM(L122+H123)</f>
        <v/>
      </c>
      <c r="M123" s="1">
        <f>SUM(M122+I123)</f>
        <v/>
      </c>
      <c r="N123" s="1">
        <f>SUM(J123+N122)</f>
        <v/>
      </c>
      <c r="O123" s="2">
        <f>ROUND(SUM(O122+F123),1)</f>
        <v/>
      </c>
    </row>
    <row r="124">
      <c r="A124" s="3" t="inlineStr">
        <is>
          <t>14.2.5</t>
        </is>
      </c>
      <c r="B124" s="3" t="inlineStr">
        <is>
          <t>14.2.6</t>
        </is>
      </c>
      <c r="C124" s="1" t="n">
        <v>3</v>
      </c>
      <c r="D124" s="4" t="n">
        <v>220</v>
      </c>
      <c r="E124" s="4" t="n">
        <v>30</v>
      </c>
      <c r="F124" s="1">
        <f>C124*COS(RADIANS(E124))</f>
        <v/>
      </c>
      <c r="G124" s="1">
        <f>C124*COS(RADIANS(E124)) *SIN(RADIANS(D124))</f>
        <v/>
      </c>
      <c r="H124" s="1">
        <f>C124*COS(RADIANS(E124))*COS(RADIANS(D124))</f>
        <v/>
      </c>
      <c r="I124" s="1">
        <f>C124*SIN(RADIANS(E124))</f>
        <v/>
      </c>
      <c r="J124" s="1">
        <f>C124*COS(RADIANS(E124))*COS(RADIANS(D124-180))</f>
        <v/>
      </c>
      <c r="K124" s="1">
        <f>SUM(K123+G124)</f>
        <v/>
      </c>
      <c r="L124" s="1">
        <f>SUM(L123+H124)</f>
        <v/>
      </c>
      <c r="M124" s="1">
        <f>SUM(M123+I124)</f>
        <v/>
      </c>
      <c r="N124" s="1">
        <f>SUM(J124+N123)</f>
        <v/>
      </c>
      <c r="O124" s="2">
        <f>ROUND(SUM(O123+F124),1)</f>
        <v/>
      </c>
      <c r="P124" s="1" t="inlineStr">
        <is>
          <t>azymut przybliżony</t>
        </is>
      </c>
    </row>
    <row r="125">
      <c r="A125" s="3" t="n"/>
      <c r="B125" s="3" t="n"/>
      <c r="C125" s="1" t="n"/>
      <c r="D125" s="4" t="n"/>
      <c r="E125" s="4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2" t="n"/>
    </row>
    <row r="126">
      <c r="A126" s="3" t="n"/>
      <c r="B126" s="3" t="inlineStr">
        <is>
          <t>10</t>
        </is>
      </c>
      <c r="C126" s="1" t="n"/>
      <c r="D126" s="4" t="n"/>
      <c r="E126" s="4" t="n"/>
      <c r="F126" s="1" t="n"/>
      <c r="G126" s="1" t="n"/>
      <c r="H126" s="1" t="n"/>
      <c r="I126" s="1" t="n"/>
      <c r="J126" s="1" t="n"/>
      <c r="K126" s="1" t="n">
        <v>-1.035356955512157</v>
      </c>
      <c r="L126" s="1" t="n">
        <v>26.72128032821932</v>
      </c>
      <c r="M126" s="1" t="n">
        <v>-2.940871551282315</v>
      </c>
      <c r="N126" s="1">
        <f>SUM(J126+N125)</f>
        <v/>
      </c>
      <c r="O126" s="2">
        <f>ROUND(SUM(O125+F126),1)</f>
        <v/>
      </c>
    </row>
    <row r="127">
      <c r="A127" s="3" t="inlineStr">
        <is>
          <t>10</t>
        </is>
      </c>
      <c r="B127" s="3" t="inlineStr">
        <is>
          <t>10.1</t>
        </is>
      </c>
      <c r="C127" s="1" t="n">
        <v>1.5</v>
      </c>
      <c r="D127" s="4" t="n">
        <v>354</v>
      </c>
      <c r="E127" s="4" t="n">
        <v>-30</v>
      </c>
      <c r="F127" s="1">
        <f>C127*COS(RADIANS(E127))</f>
        <v/>
      </c>
      <c r="G127" s="1">
        <f>C127*COS(RADIANS(E127)) *SIN(RADIANS(D127))</f>
        <v/>
      </c>
      <c r="H127" s="1">
        <f>C127*COS(RADIANS(E127))*COS(RADIANS(D127))</f>
        <v/>
      </c>
      <c r="I127" s="1">
        <f>C127*SIN(RADIANS(E127))</f>
        <v/>
      </c>
      <c r="J127" s="1">
        <f>C127*COS(RADIANS(E127))*COS(RADIANS(D127-180))</f>
        <v/>
      </c>
      <c r="K127" s="1">
        <f>SUM(K126+G127)</f>
        <v/>
      </c>
      <c r="L127" s="1">
        <f>SUM(L126+H127)</f>
        <v/>
      </c>
      <c r="M127" s="1">
        <f>SUM(M126+I127)</f>
        <v/>
      </c>
      <c r="N127" s="1">
        <f>SUM(J127+N126)</f>
        <v/>
      </c>
      <c r="O127" s="2">
        <f>ROUND(SUM(O126+F127),1)</f>
        <v/>
      </c>
    </row>
    <row r="128">
      <c r="A128" s="3" t="inlineStr">
        <is>
          <t>10.1</t>
        </is>
      </c>
      <c r="B128" s="3" t="inlineStr">
        <is>
          <t>10.2</t>
        </is>
      </c>
      <c r="C128" s="1" t="n">
        <v>4.6</v>
      </c>
      <c r="D128" s="4" t="n">
        <v>66</v>
      </c>
      <c r="E128" s="4" t="n">
        <v>-28</v>
      </c>
      <c r="F128" s="1">
        <f>C128*COS(RADIANS(E128))</f>
        <v/>
      </c>
      <c r="G128" s="1">
        <f>C128*COS(RADIANS(E128)) *SIN(RADIANS(D128))</f>
        <v/>
      </c>
      <c r="H128" s="1">
        <f>C128*COS(RADIANS(E128))*COS(RADIANS(D128))</f>
        <v/>
      </c>
      <c r="I128" s="1">
        <f>C128*SIN(RADIANS(E128))</f>
        <v/>
      </c>
      <c r="J128" s="1">
        <f>C128*COS(RADIANS(E128))*COS(RADIANS(D128-180))</f>
        <v/>
      </c>
      <c r="K128" s="1">
        <f>SUM(K127+G128)</f>
        <v/>
      </c>
      <c r="L128" s="1">
        <f>SUM(L127+H128)</f>
        <v/>
      </c>
      <c r="M128" s="1">
        <f>SUM(M127+I128)</f>
        <v/>
      </c>
      <c r="N128" s="1">
        <f>SUM(J128+N127)</f>
        <v/>
      </c>
      <c r="O128" s="2">
        <f>ROUND(SUM(O127+F128),1)</f>
        <v/>
      </c>
    </row>
    <row r="129">
      <c r="A129" s="3" t="inlineStr">
        <is>
          <t>10.2</t>
        </is>
      </c>
      <c r="B129" s="3" t="inlineStr">
        <is>
          <t>10.3</t>
        </is>
      </c>
      <c r="C129" s="1" t="n">
        <v>4.46</v>
      </c>
      <c r="D129" s="4" t="n">
        <v>145</v>
      </c>
      <c r="E129" s="4" t="n">
        <v>18</v>
      </c>
      <c r="F129" s="1">
        <f>C129*COS(RADIANS(E129))</f>
        <v/>
      </c>
      <c r="G129" s="1">
        <f>C129*COS(RADIANS(E129)) *SIN(RADIANS(D129))</f>
        <v/>
      </c>
      <c r="H129" s="1">
        <f>C129*COS(RADIANS(E129))*COS(RADIANS(D129))</f>
        <v/>
      </c>
      <c r="I129" s="1">
        <f>C129*SIN(RADIANS(E129))</f>
        <v/>
      </c>
      <c r="J129" s="1">
        <f>C129*COS(RADIANS(E129))*COS(RADIANS(D129-180))</f>
        <v/>
      </c>
      <c r="K129" s="1">
        <f>SUM(K128+G129)</f>
        <v/>
      </c>
      <c r="L129" s="1">
        <f>SUM(L128+H129)</f>
        <v/>
      </c>
      <c r="M129" s="1">
        <f>SUM(M128+I129)</f>
        <v/>
      </c>
      <c r="N129" s="1">
        <f>SUM(J129+N128)</f>
        <v/>
      </c>
      <c r="O129" s="2">
        <f>ROUND(SUM(O128+F129),1)</f>
        <v/>
      </c>
    </row>
    <row r="130">
      <c r="A130" s="3" t="inlineStr">
        <is>
          <t>10.3</t>
        </is>
      </c>
      <c r="B130" s="3" t="inlineStr">
        <is>
          <t>10.4</t>
        </is>
      </c>
      <c r="C130" s="1" t="n">
        <v>2.43</v>
      </c>
      <c r="D130" s="4" t="n">
        <v>105</v>
      </c>
      <c r="E130" s="4" t="n">
        <v>-47</v>
      </c>
      <c r="F130" s="1">
        <f>C130*COS(RADIANS(E130))</f>
        <v/>
      </c>
      <c r="G130" s="1">
        <f>C130*COS(RADIANS(E130)) *SIN(RADIANS(D130))</f>
        <v/>
      </c>
      <c r="H130" s="1">
        <f>C130*COS(RADIANS(E130))*COS(RADIANS(D130))</f>
        <v/>
      </c>
      <c r="I130" s="1">
        <f>C130*SIN(RADIANS(E130))</f>
        <v/>
      </c>
      <c r="J130" s="1">
        <f>C130*COS(RADIANS(E130))*COS(RADIANS(D130-180))</f>
        <v/>
      </c>
      <c r="K130" s="1">
        <f>SUM(K129+G130)</f>
        <v/>
      </c>
      <c r="L130" s="1">
        <f>SUM(L129+H130)</f>
        <v/>
      </c>
      <c r="M130" s="1">
        <f>SUM(M129+I130)</f>
        <v/>
      </c>
      <c r="N130" s="1">
        <f>SUM(J130+N129)</f>
        <v/>
      </c>
      <c r="O130" s="2">
        <f>ROUND(SUM(O129+F130),1)</f>
        <v/>
      </c>
    </row>
    <row r="131">
      <c r="A131" s="3" t="inlineStr">
        <is>
          <t>10.4</t>
        </is>
      </c>
      <c r="B131" s="3" t="inlineStr">
        <is>
          <t>10.4.1</t>
        </is>
      </c>
      <c r="C131" s="1" t="n">
        <v>1.3</v>
      </c>
      <c r="D131" s="4" t="n">
        <v>240</v>
      </c>
      <c r="E131" s="4" t="n">
        <v>-30</v>
      </c>
      <c r="F131" s="1">
        <f>C131*COS(RADIANS(E131))</f>
        <v/>
      </c>
      <c r="G131" s="1">
        <f>C131*COS(RADIANS(E131)) *SIN(RADIANS(D131))</f>
        <v/>
      </c>
      <c r="H131" s="1">
        <f>C131*COS(RADIANS(E131))*COS(RADIANS(D131))</f>
        <v/>
      </c>
      <c r="I131" s="1">
        <f>C131*SIN(RADIANS(E131))</f>
        <v/>
      </c>
      <c r="J131" s="1">
        <f>C131*COS(RADIANS(E131))*COS(RADIANS(D131-180))</f>
        <v/>
      </c>
      <c r="K131" s="1">
        <f>SUM(K130+G131)</f>
        <v/>
      </c>
      <c r="L131" s="1">
        <f>SUM(L130+H131)</f>
        <v/>
      </c>
      <c r="M131" s="1">
        <f>SUM(M130+I131)</f>
        <v/>
      </c>
      <c r="N131" s="1">
        <f>SUM(J131+N130)</f>
        <v/>
      </c>
      <c r="O131" s="2">
        <f>ROUND(SUM(O130+F131),1)</f>
        <v/>
      </c>
    </row>
    <row r="132">
      <c r="A132" s="3" t="inlineStr">
        <is>
          <t>10.4.1</t>
        </is>
      </c>
      <c r="B132" s="3" t="inlineStr">
        <is>
          <t>10.4.2</t>
        </is>
      </c>
      <c r="C132" s="1" t="n">
        <v>1.85</v>
      </c>
      <c r="D132" s="4" t="n">
        <v>310</v>
      </c>
      <c r="E132" s="4" t="n">
        <v>-39</v>
      </c>
      <c r="F132" s="1">
        <f>C132*COS(RADIANS(E132))</f>
        <v/>
      </c>
      <c r="G132" s="1">
        <f>C132*COS(RADIANS(E132)) *SIN(RADIANS(D132))</f>
        <v/>
      </c>
      <c r="H132" s="1">
        <f>C132*COS(RADIANS(E132))*COS(RADIANS(D132))</f>
        <v/>
      </c>
      <c r="I132" s="1">
        <f>C132*SIN(RADIANS(E132))</f>
        <v/>
      </c>
      <c r="J132" s="1">
        <f>C132*COS(RADIANS(E132))*COS(RADIANS(D132-180))</f>
        <v/>
      </c>
      <c r="K132" s="1">
        <f>SUM(K131+G132)</f>
        <v/>
      </c>
      <c r="L132" s="1">
        <f>SUM(L131+H132)</f>
        <v/>
      </c>
      <c r="M132" s="1">
        <f>SUM(M131+I132)</f>
        <v/>
      </c>
      <c r="N132" s="1">
        <f>SUM(J132+N131)</f>
        <v/>
      </c>
      <c r="O132" s="2">
        <f>ROUND(SUM(O131+F132),1)</f>
        <v/>
      </c>
    </row>
    <row r="133">
      <c r="A133" s="3" t="inlineStr">
        <is>
          <t>10.4.2</t>
        </is>
      </c>
      <c r="B133" s="3" t="inlineStr">
        <is>
          <t>10.4.3</t>
        </is>
      </c>
      <c r="C133" s="1" t="n">
        <v>1</v>
      </c>
      <c r="D133" s="4" t="n">
        <v>220</v>
      </c>
      <c r="E133" s="4" t="n">
        <v>0</v>
      </c>
      <c r="F133" s="1">
        <f>C133*COS(RADIANS(E133))</f>
        <v/>
      </c>
      <c r="G133" s="1">
        <f>C133*COS(RADIANS(E133)) *SIN(RADIANS(D133))</f>
        <v/>
      </c>
      <c r="H133" s="1">
        <f>C133*COS(RADIANS(E133))*COS(RADIANS(D133))</f>
        <v/>
      </c>
      <c r="I133" s="1">
        <f>C133*SIN(RADIANS(E133))</f>
        <v/>
      </c>
      <c r="J133" s="1">
        <f>C133*COS(RADIANS(E133))*COS(RADIANS(D133-180))</f>
        <v/>
      </c>
      <c r="K133" s="1">
        <f>SUM(K132+G133)</f>
        <v/>
      </c>
      <c r="L133" s="1">
        <f>SUM(L132+H133)</f>
        <v/>
      </c>
      <c r="M133" s="1">
        <f>SUM(M132+I133)</f>
        <v/>
      </c>
      <c r="N133" s="1">
        <f>SUM(J133+N132)</f>
        <v/>
      </c>
      <c r="O133" s="2">
        <f>ROUND(SUM(O132+F133),1)</f>
        <v/>
      </c>
      <c r="P133" s="1" t="inlineStr">
        <is>
          <t>azymut przybliżony</t>
        </is>
      </c>
    </row>
    <row r="134">
      <c r="A134" s="3" t="n"/>
      <c r="B134" s="3" t="n"/>
      <c r="C134" s="1" t="n"/>
      <c r="D134" s="4" t="n"/>
      <c r="E134" s="4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2" t="n"/>
    </row>
    <row r="135">
      <c r="A135" s="3" t="n"/>
      <c r="B135" s="3" t="inlineStr">
        <is>
          <t>10.4</t>
        </is>
      </c>
      <c r="C135" s="1" t="n"/>
      <c r="D135" s="4" t="n"/>
      <c r="E135" s="4" t="n"/>
      <c r="F135" s="1" t="n"/>
      <c r="G135" s="1" t="n"/>
      <c r="H135" s="1" t="n"/>
      <c r="I135" s="1" t="n"/>
      <c r="J135" s="1" t="n"/>
      <c r="K135" s="1" t="n">
        <v>6.573007770974028</v>
      </c>
      <c r="L135" s="1" t="n">
        <v>25.76165048420957</v>
      </c>
      <c r="M135" s="1" t="n">
        <v>-6.249414440119732</v>
      </c>
      <c r="N135" s="1">
        <f>SUM(J135+N134)</f>
        <v/>
      </c>
      <c r="O135" s="2">
        <f>ROUND(SUM(O134+F135),1)</f>
        <v/>
      </c>
    </row>
    <row r="136">
      <c r="A136" s="3" t="inlineStr">
        <is>
          <t>10.4</t>
        </is>
      </c>
      <c r="B136" s="3" t="inlineStr">
        <is>
          <t>10.5</t>
        </is>
      </c>
      <c r="C136" s="1" t="n">
        <v>4.95</v>
      </c>
      <c r="D136" s="4" t="n">
        <v>73</v>
      </c>
      <c r="E136" s="4" t="n">
        <v>-19</v>
      </c>
      <c r="F136" s="1">
        <f>C136*COS(RADIANS(E136))</f>
        <v/>
      </c>
      <c r="G136" s="1">
        <f>C136*COS(RADIANS(E136)) *SIN(RADIANS(D136))</f>
        <v/>
      </c>
      <c r="H136" s="1">
        <f>C136*COS(RADIANS(E136))*COS(RADIANS(D136))</f>
        <v/>
      </c>
      <c r="I136" s="1">
        <f>C136*SIN(RADIANS(E136))</f>
        <v/>
      </c>
      <c r="J136" s="1">
        <f>C136*COS(RADIANS(E136))*COS(RADIANS(D136-180))</f>
        <v/>
      </c>
      <c r="K136" s="1">
        <f>SUM(K135+G136)</f>
        <v/>
      </c>
      <c r="L136" s="1">
        <f>SUM(L135+H136)</f>
        <v/>
      </c>
      <c r="M136" s="1">
        <f>SUM(M135+I136)</f>
        <v/>
      </c>
      <c r="N136" s="1">
        <f>SUM(J136+N135)</f>
        <v/>
      </c>
      <c r="O136" s="2">
        <f>ROUND(SUM(O135+F136),1)</f>
        <v/>
      </c>
    </row>
    <row r="137">
      <c r="A137" s="3" t="inlineStr">
        <is>
          <t>10.5</t>
        </is>
      </c>
      <c r="B137" s="3" t="inlineStr">
        <is>
          <t>10.6</t>
        </is>
      </c>
      <c r="C137" s="1" t="n">
        <v>1.86</v>
      </c>
      <c r="D137" s="4" t="n">
        <v>169</v>
      </c>
      <c r="E137" s="4" t="n">
        <v>-18</v>
      </c>
      <c r="F137" s="1">
        <f>C137*COS(RADIANS(E137))</f>
        <v/>
      </c>
      <c r="G137" s="1">
        <f>C137*COS(RADIANS(E137)) *SIN(RADIANS(D137))</f>
        <v/>
      </c>
      <c r="H137" s="1">
        <f>C137*COS(RADIANS(E137))*COS(RADIANS(D137))</f>
        <v/>
      </c>
      <c r="I137" s="1">
        <f>C137*SIN(RADIANS(E137))</f>
        <v/>
      </c>
      <c r="J137" s="1">
        <f>C137*COS(RADIANS(E137))*COS(RADIANS(D137-180))</f>
        <v/>
      </c>
      <c r="K137" s="1">
        <f>SUM(K136+G137)</f>
        <v/>
      </c>
      <c r="L137" s="1">
        <f>SUM(L136+H137)</f>
        <v/>
      </c>
      <c r="M137" s="1">
        <f>SUM(M136+I137)</f>
        <v/>
      </c>
      <c r="N137" s="1">
        <f>SUM(J137+N136)</f>
        <v/>
      </c>
      <c r="O137" s="2">
        <f>ROUND(SUM(O136+F137),1)</f>
        <v/>
      </c>
    </row>
    <row r="138">
      <c r="A138" s="3" t="inlineStr">
        <is>
          <t>10.6</t>
        </is>
      </c>
      <c r="B138" s="3" t="inlineStr">
        <is>
          <t>10.7</t>
        </is>
      </c>
      <c r="C138" s="1" t="n">
        <v>3.18</v>
      </c>
      <c r="D138" s="4" t="n">
        <v>136</v>
      </c>
      <c r="E138" s="4" t="n">
        <v>8</v>
      </c>
      <c r="F138" s="1">
        <f>C138*COS(RADIANS(E138))</f>
        <v/>
      </c>
      <c r="G138" s="1">
        <f>C138*COS(RADIANS(E138)) *SIN(RADIANS(D138))</f>
        <v/>
      </c>
      <c r="H138" s="1">
        <f>C138*COS(RADIANS(E138))*COS(RADIANS(D138))</f>
        <v/>
      </c>
      <c r="I138" s="1">
        <f>C138*SIN(RADIANS(E138))</f>
        <v/>
      </c>
      <c r="J138" s="1">
        <f>C138*COS(RADIANS(E138))*COS(RADIANS(D138-180))</f>
        <v/>
      </c>
      <c r="K138" s="1">
        <f>SUM(K137+G138)</f>
        <v/>
      </c>
      <c r="L138" s="1">
        <f>SUM(L137+H138)</f>
        <v/>
      </c>
      <c r="M138" s="1">
        <f>SUM(M137+I138)</f>
        <v/>
      </c>
      <c r="N138" s="1">
        <f>SUM(J138+N137)</f>
        <v/>
      </c>
      <c r="O138" s="2">
        <f>ROUND(SUM(O137+F138),1)</f>
        <v/>
      </c>
    </row>
    <row r="139">
      <c r="A139" s="3" t="inlineStr">
        <is>
          <t>10.7</t>
        </is>
      </c>
      <c r="B139" s="3" t="inlineStr">
        <is>
          <t>10.8</t>
        </is>
      </c>
      <c r="C139" s="1" t="n">
        <v>3.75</v>
      </c>
      <c r="D139" s="4" t="n">
        <v>114</v>
      </c>
      <c r="E139" s="4" t="n">
        <v>42</v>
      </c>
      <c r="F139" s="1">
        <f>C139*COS(RADIANS(E139))</f>
        <v/>
      </c>
      <c r="G139" s="1">
        <f>C139*COS(RADIANS(E139)) *SIN(RADIANS(D139))</f>
        <v/>
      </c>
      <c r="H139" s="1">
        <f>C139*COS(RADIANS(E139))*COS(RADIANS(D139))</f>
        <v/>
      </c>
      <c r="I139" s="1">
        <f>C139*SIN(RADIANS(E139))</f>
        <v/>
      </c>
      <c r="J139" s="1">
        <f>C139*COS(RADIANS(E139))*COS(RADIANS(D139-180))</f>
        <v/>
      </c>
      <c r="K139" s="1">
        <f>SUM(K138+G139)</f>
        <v/>
      </c>
      <c r="L139" s="1">
        <f>SUM(L138+H139)</f>
        <v/>
      </c>
      <c r="M139" s="1">
        <f>SUM(M138+I139)</f>
        <v/>
      </c>
      <c r="N139" s="1">
        <f>SUM(J139+N138)</f>
        <v/>
      </c>
      <c r="O139" s="2">
        <f>ROUND(SUM(O138+F139),1)</f>
        <v/>
      </c>
    </row>
    <row r="140">
      <c r="A140" s="3" t="inlineStr">
        <is>
          <t>10.8</t>
        </is>
      </c>
      <c r="B140" s="3" t="inlineStr">
        <is>
          <t>10.9</t>
        </is>
      </c>
      <c r="C140" s="1" t="n">
        <v>5.4</v>
      </c>
      <c r="D140" s="4" t="n">
        <v>114</v>
      </c>
      <c r="E140" s="4" t="n">
        <v>-47</v>
      </c>
      <c r="F140" s="1">
        <f>C140*COS(RADIANS(E140))</f>
        <v/>
      </c>
      <c r="G140" s="1">
        <f>C140*COS(RADIANS(E140)) *SIN(RADIANS(D140))</f>
        <v/>
      </c>
      <c r="H140" s="1">
        <f>C140*COS(RADIANS(E140))*COS(RADIANS(D140))</f>
        <v/>
      </c>
      <c r="I140" s="1">
        <f>C140*SIN(RADIANS(E140))</f>
        <v/>
      </c>
      <c r="J140" s="1">
        <f>C140*COS(RADIANS(E140))*COS(RADIANS(D140-180))</f>
        <v/>
      </c>
      <c r="K140" s="1">
        <f>SUM(K139+G140)</f>
        <v/>
      </c>
      <c r="L140" s="1">
        <f>SUM(L139+H140)</f>
        <v/>
      </c>
      <c r="M140" s="1">
        <f>SUM(M139+I140)</f>
        <v/>
      </c>
      <c r="N140" s="1">
        <f>SUM(J140+N139)</f>
        <v/>
      </c>
      <c r="O140" s="2">
        <f>ROUND(SUM(O139+F140),1)</f>
        <v/>
      </c>
    </row>
    <row r="141">
      <c r="A141" s="3" t="inlineStr">
        <is>
          <t>10.9</t>
        </is>
      </c>
      <c r="B141" s="3" t="inlineStr">
        <is>
          <t>10.10</t>
        </is>
      </c>
      <c r="C141" s="1" t="n">
        <v>2.63</v>
      </c>
      <c r="D141" s="4" t="n">
        <v>22</v>
      </c>
      <c r="E141" s="4" t="n">
        <v>-25</v>
      </c>
      <c r="F141" s="1">
        <f>C141*COS(RADIANS(E141))</f>
        <v/>
      </c>
      <c r="G141" s="1">
        <f>C141*COS(RADIANS(E141)) *SIN(RADIANS(D141))</f>
        <v/>
      </c>
      <c r="H141" s="1">
        <f>C141*COS(RADIANS(E141))*COS(RADIANS(D141))</f>
        <v/>
      </c>
      <c r="I141" s="1">
        <f>C141*SIN(RADIANS(E141))</f>
        <v/>
      </c>
      <c r="J141" s="1">
        <f>C141*COS(RADIANS(E141))*COS(RADIANS(D141-180))</f>
        <v/>
      </c>
      <c r="K141" s="1">
        <f>SUM(K140+G141)</f>
        <v/>
      </c>
      <c r="L141" s="1">
        <f>SUM(L140+H141)</f>
        <v/>
      </c>
      <c r="M141" s="1">
        <f>SUM(M140+I141)</f>
        <v/>
      </c>
      <c r="N141" s="1">
        <f>SUM(J141+N140)</f>
        <v/>
      </c>
      <c r="O141" s="2">
        <f>ROUND(SUM(O140+F141),1)</f>
        <v/>
      </c>
    </row>
    <row r="142">
      <c r="A142" s="3" t="inlineStr">
        <is>
          <t>10.10</t>
        </is>
      </c>
      <c r="B142" s="3" t="inlineStr">
        <is>
          <t>10.11</t>
        </is>
      </c>
      <c r="C142" s="1" t="n">
        <v>1.5</v>
      </c>
      <c r="D142" s="4" t="n">
        <v>83</v>
      </c>
      <c r="E142" s="4" t="n">
        <v>-13</v>
      </c>
      <c r="F142" s="1">
        <f>C142*COS(RADIANS(E142))</f>
        <v/>
      </c>
      <c r="G142" s="1">
        <f>C142*COS(RADIANS(E142)) *SIN(RADIANS(D142))</f>
        <v/>
      </c>
      <c r="H142" s="1">
        <f>C142*COS(RADIANS(E142))*COS(RADIANS(D142))</f>
        <v/>
      </c>
      <c r="I142" s="1">
        <f>C142*SIN(RADIANS(E142))</f>
        <v/>
      </c>
      <c r="J142" s="1">
        <f>C142*COS(RADIANS(E142))*COS(RADIANS(D142-180))</f>
        <v/>
      </c>
      <c r="K142" s="1">
        <f>SUM(K141+G142)</f>
        <v/>
      </c>
      <c r="L142" s="1">
        <f>SUM(L141+H142)</f>
        <v/>
      </c>
      <c r="M142" s="1">
        <f>SUM(M141+I142)</f>
        <v/>
      </c>
      <c r="N142" s="1">
        <f>SUM(J142+N141)</f>
        <v/>
      </c>
      <c r="O142" s="2">
        <f>ROUND(SUM(O141+F142),1)</f>
        <v/>
      </c>
    </row>
    <row r="143">
      <c r="A143" s="3" t="inlineStr">
        <is>
          <t>10.11</t>
        </is>
      </c>
      <c r="B143" s="3" t="inlineStr">
        <is>
          <t>10.12</t>
        </is>
      </c>
      <c r="C143" s="1" t="n">
        <v>2.5</v>
      </c>
      <c r="D143" s="4" t="n">
        <v>13</v>
      </c>
      <c r="E143" s="4" t="n">
        <v>-73</v>
      </c>
      <c r="F143" s="1">
        <f>C143*COS(RADIANS(E143))</f>
        <v/>
      </c>
      <c r="G143" s="1">
        <f>C143*COS(RADIANS(E143)) *SIN(RADIANS(D143))</f>
        <v/>
      </c>
      <c r="H143" s="1">
        <f>C143*COS(RADIANS(E143))*COS(RADIANS(D143))</f>
        <v/>
      </c>
      <c r="I143" s="1">
        <f>C143*SIN(RADIANS(E143))</f>
        <v/>
      </c>
      <c r="J143" s="1">
        <f>C143*COS(RADIANS(E143))*COS(RADIANS(D143-180))</f>
        <v/>
      </c>
      <c r="K143" s="1">
        <f>SUM(K142+G143)</f>
        <v/>
      </c>
      <c r="L143" s="1">
        <f>SUM(L142+H143)</f>
        <v/>
      </c>
      <c r="M143" s="1">
        <f>SUM(M142+I143)</f>
        <v/>
      </c>
      <c r="N143" s="1">
        <f>SUM(J143+N142)</f>
        <v/>
      </c>
      <c r="O143" s="2">
        <f>ROUND(SUM(O142+F143),1)</f>
        <v/>
      </c>
    </row>
    <row r="144">
      <c r="A144" s="3" t="inlineStr">
        <is>
          <t>10.12</t>
        </is>
      </c>
      <c r="B144" s="3" t="inlineStr">
        <is>
          <t>10.13</t>
        </is>
      </c>
      <c r="C144" s="1" t="n">
        <v>1.49</v>
      </c>
      <c r="D144" s="4" t="n">
        <v>123</v>
      </c>
      <c r="E144" s="4" t="n">
        <v>-30</v>
      </c>
      <c r="F144" s="1">
        <f>C144*COS(RADIANS(E144))</f>
        <v/>
      </c>
      <c r="G144" s="1">
        <f>C144*COS(RADIANS(E144)) *SIN(RADIANS(D144))</f>
        <v/>
      </c>
      <c r="H144" s="1">
        <f>C144*COS(RADIANS(E144))*COS(RADIANS(D144))</f>
        <v/>
      </c>
      <c r="I144" s="1">
        <f>C144*SIN(RADIANS(E144))</f>
        <v/>
      </c>
      <c r="J144" s="1">
        <f>C144*COS(RADIANS(E144))*COS(RADIANS(D144-180))</f>
        <v/>
      </c>
      <c r="K144" s="1">
        <f>SUM(K143+G144)</f>
        <v/>
      </c>
      <c r="L144" s="1">
        <f>SUM(L143+H144)</f>
        <v/>
      </c>
      <c r="M144" s="1">
        <f>SUM(M143+I144)</f>
        <v/>
      </c>
      <c r="N144" s="1">
        <f>SUM(J144+N143)</f>
        <v/>
      </c>
      <c r="O144" s="2">
        <f>ROUND(SUM(O143+F144),1)</f>
        <v/>
      </c>
    </row>
    <row r="145">
      <c r="A145" s="3" t="inlineStr">
        <is>
          <t>10.13</t>
        </is>
      </c>
      <c r="B145" s="3" t="inlineStr">
        <is>
          <t>10.14</t>
        </is>
      </c>
      <c r="C145" s="1" t="n">
        <v>3.3</v>
      </c>
      <c r="D145" s="4" t="n">
        <v>144</v>
      </c>
      <c r="E145" s="4" t="n">
        <v>-37</v>
      </c>
      <c r="F145" s="1">
        <f>C145*COS(RADIANS(E145))</f>
        <v/>
      </c>
      <c r="G145" s="1">
        <f>C145*COS(RADIANS(E145)) *SIN(RADIANS(D145))</f>
        <v/>
      </c>
      <c r="H145" s="1">
        <f>C145*COS(RADIANS(E145))*COS(RADIANS(D145))</f>
        <v/>
      </c>
      <c r="I145" s="1">
        <f>C145*SIN(RADIANS(E145))</f>
        <v/>
      </c>
      <c r="J145" s="1">
        <f>C145*COS(RADIANS(E145))*COS(RADIANS(D145-180))</f>
        <v/>
      </c>
      <c r="K145" s="1">
        <f>SUM(K144+G145)</f>
        <v/>
      </c>
      <c r="L145" s="1">
        <f>SUM(L144+H145)</f>
        <v/>
      </c>
      <c r="M145" s="1">
        <f>SUM(M144+I145)</f>
        <v/>
      </c>
      <c r="N145" s="1">
        <f>SUM(J145+N144)</f>
        <v/>
      </c>
      <c r="O145" s="2">
        <f>ROUND(SUM(O144+F145),1)</f>
        <v/>
      </c>
    </row>
    <row r="146">
      <c r="A146" s="3" t="inlineStr">
        <is>
          <t>10.14</t>
        </is>
      </c>
      <c r="B146" s="3" t="inlineStr">
        <is>
          <t>10.15</t>
        </is>
      </c>
      <c r="C146" s="1" t="n">
        <v>2.4</v>
      </c>
      <c r="D146" s="4" t="n">
        <v>35</v>
      </c>
      <c r="E146" s="4" t="n">
        <v>-32</v>
      </c>
      <c r="F146" s="1">
        <f>C146*COS(RADIANS(E146))</f>
        <v/>
      </c>
      <c r="G146" s="1">
        <f>C146*COS(RADIANS(E146)) *SIN(RADIANS(D146))</f>
        <v/>
      </c>
      <c r="H146" s="1">
        <f>C146*COS(RADIANS(E146))*COS(RADIANS(D146))</f>
        <v/>
      </c>
      <c r="I146" s="1">
        <f>C146*SIN(RADIANS(E146))</f>
        <v/>
      </c>
      <c r="J146" s="1">
        <f>C146*COS(RADIANS(E146))*COS(RADIANS(D146-180))</f>
        <v/>
      </c>
      <c r="K146" s="1">
        <f>SUM(K145+G146)</f>
        <v/>
      </c>
      <c r="L146" s="1">
        <f>SUM(L145+H146)</f>
        <v/>
      </c>
      <c r="M146" s="1">
        <f>SUM(M145+I146)</f>
        <v/>
      </c>
      <c r="N146" s="1">
        <f>SUM(J146+N145)</f>
        <v/>
      </c>
      <c r="O146" s="2">
        <f>ROUND(SUM(O145+F146),1)</f>
        <v/>
      </c>
      <c r="P146" s="1" t="inlineStr">
        <is>
          <t>2 m równoległej rury</t>
        </is>
      </c>
    </row>
    <row r="147">
      <c r="A147" s="3" t="inlineStr">
        <is>
          <t>10.15</t>
        </is>
      </c>
      <c r="B147" s="3" t="inlineStr">
        <is>
          <t>10.16</t>
        </is>
      </c>
      <c r="C147" s="1" t="n">
        <v>2.1</v>
      </c>
      <c r="D147" s="4" t="n">
        <v>21</v>
      </c>
      <c r="E147" s="4" t="n">
        <v>-13</v>
      </c>
      <c r="F147" s="1">
        <f>C147*COS(RADIANS(E147))</f>
        <v/>
      </c>
      <c r="G147" s="1">
        <f>C147*COS(RADIANS(E147)) *SIN(RADIANS(D147))</f>
        <v/>
      </c>
      <c r="H147" s="1">
        <f>C147*COS(RADIANS(E147))*COS(RADIANS(D147))</f>
        <v/>
      </c>
      <c r="I147" s="1">
        <f>C147*SIN(RADIANS(E147))</f>
        <v/>
      </c>
      <c r="J147" s="1">
        <f>C147*COS(RADIANS(E147))*COS(RADIANS(D147-180))</f>
        <v/>
      </c>
      <c r="K147" s="1">
        <f>SUM(K146+G147)</f>
        <v/>
      </c>
      <c r="L147" s="1">
        <f>SUM(L146+H147)</f>
        <v/>
      </c>
      <c r="M147" s="1">
        <f>SUM(M146+I147)</f>
        <v/>
      </c>
      <c r="N147" s="1">
        <f>SUM(J147+N146)</f>
        <v/>
      </c>
      <c r="O147" s="2">
        <f>ROUND(SUM(O146+F147),1)</f>
        <v/>
      </c>
    </row>
    <row r="148">
      <c r="A148" s="3" t="inlineStr">
        <is>
          <t>10.16</t>
        </is>
      </c>
      <c r="B148" s="3" t="inlineStr">
        <is>
          <t>10.17</t>
        </is>
      </c>
      <c r="C148" s="1" t="n">
        <v>2.2</v>
      </c>
      <c r="D148" s="4" t="n">
        <v>0</v>
      </c>
      <c r="E148" s="4" t="n">
        <v>90</v>
      </c>
      <c r="F148" s="1">
        <f>C148*COS(RADIANS(E148))</f>
        <v/>
      </c>
      <c r="G148" s="1">
        <f>C148*COS(RADIANS(E148)) *SIN(RADIANS(D148))</f>
        <v/>
      </c>
      <c r="H148" s="1">
        <f>C148*COS(RADIANS(E148))*COS(RADIANS(D148))</f>
        <v/>
      </c>
      <c r="I148" s="1">
        <f>C148*SIN(RADIANS(E148))</f>
        <v/>
      </c>
      <c r="J148" s="1">
        <f>C148*COS(RADIANS(E148))*COS(RADIANS(D148-180))</f>
        <v/>
      </c>
      <c r="K148" s="1">
        <f>SUM(K147+G148)</f>
        <v/>
      </c>
      <c r="L148" s="1">
        <f>SUM(L147+H148)</f>
        <v/>
      </c>
      <c r="M148" s="1">
        <f>SUM(M147+I148)</f>
        <v/>
      </c>
      <c r="N148" s="1">
        <f>SUM(J148+N147)</f>
        <v/>
      </c>
      <c r="O148" s="2">
        <f>ROUND(SUM(O147+F148),1)</f>
        <v/>
      </c>
    </row>
    <row r="149">
      <c r="A149" s="3" t="inlineStr">
        <is>
          <t>10.17</t>
        </is>
      </c>
      <c r="B149" s="3" t="inlineStr">
        <is>
          <t>10.18</t>
        </is>
      </c>
      <c r="C149" s="1" t="n">
        <v>1.6</v>
      </c>
      <c r="D149" s="4" t="n">
        <v>70</v>
      </c>
      <c r="E149" s="4" t="n">
        <v>0</v>
      </c>
      <c r="F149" s="1">
        <f>C149*COS(RADIANS(E149))</f>
        <v/>
      </c>
      <c r="G149" s="1">
        <f>C149*COS(RADIANS(E149)) *SIN(RADIANS(D149))</f>
        <v/>
      </c>
      <c r="H149" s="1">
        <f>C149*COS(RADIANS(E149))*COS(RADIANS(D149))</f>
        <v/>
      </c>
      <c r="I149" s="1">
        <f>C149*SIN(RADIANS(E149))</f>
        <v/>
      </c>
      <c r="J149" s="1">
        <f>C149*COS(RADIANS(E149))*COS(RADIANS(D149-180))</f>
        <v/>
      </c>
      <c r="K149" s="1">
        <f>SUM(K148+G149)</f>
        <v/>
      </c>
      <c r="L149" s="1">
        <f>SUM(L148+H149)</f>
        <v/>
      </c>
      <c r="M149" s="1">
        <f>SUM(M148+I149)</f>
        <v/>
      </c>
      <c r="N149" s="1">
        <f>SUM(J149+N148)</f>
        <v/>
      </c>
      <c r="O149" s="2">
        <f>ROUND(SUM(O148+F149),1)</f>
        <v/>
      </c>
    </row>
    <row r="150">
      <c r="A150" s="3" t="inlineStr">
        <is>
          <t>10.18</t>
        </is>
      </c>
      <c r="B150" s="3" t="inlineStr">
        <is>
          <t>10.19</t>
        </is>
      </c>
      <c r="C150" s="1" t="n">
        <v>3.4</v>
      </c>
      <c r="D150" s="4" t="n">
        <v>163</v>
      </c>
      <c r="E150" s="4" t="n">
        <v>-27</v>
      </c>
      <c r="F150" s="1">
        <f>C150*COS(RADIANS(E150))</f>
        <v/>
      </c>
      <c r="G150" s="1">
        <f>C150*COS(RADIANS(E150)) *SIN(RADIANS(D150))</f>
        <v/>
      </c>
      <c r="H150" s="1">
        <f>C150*COS(RADIANS(E150))*COS(RADIANS(D150))</f>
        <v/>
      </c>
      <c r="I150" s="1">
        <f>C150*SIN(RADIANS(E150))</f>
        <v/>
      </c>
      <c r="J150" s="1">
        <f>C150*COS(RADIANS(E150))*COS(RADIANS(D150-180))</f>
        <v/>
      </c>
      <c r="K150" s="1">
        <f>SUM(K149+G150)</f>
        <v/>
      </c>
      <c r="L150" s="1">
        <f>SUM(L149+H150)</f>
        <v/>
      </c>
      <c r="M150" s="1">
        <f>SUM(M149+I150)</f>
        <v/>
      </c>
      <c r="N150" s="1">
        <f>SUM(J150+N149)</f>
        <v/>
      </c>
      <c r="O150" s="2">
        <f>ROUND(SUM(O149+F150),1)</f>
        <v/>
      </c>
    </row>
    <row r="151">
      <c r="A151" s="3" t="n"/>
      <c r="B151" s="3" t="n"/>
      <c r="C151" s="1" t="n"/>
      <c r="D151" s="4" t="n"/>
      <c r="E151" s="4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2" t="n"/>
    </row>
    <row r="152">
      <c r="A152" s="3" t="n"/>
      <c r="B152" s="3" t="inlineStr">
        <is>
          <t>10.9</t>
        </is>
      </c>
      <c r="C152" s="1" t="n"/>
      <c r="D152" s="4" t="n"/>
      <c r="E152" s="4" t="n"/>
      <c r="F152" s="1" t="n"/>
      <c r="G152" s="1" t="n"/>
      <c r="H152" s="1" t="n"/>
      <c r="I152" s="1" t="n"/>
      <c r="J152" s="1" t="n"/>
      <c r="K152" s="1" t="n">
        <v>19.48412653094276</v>
      </c>
      <c r="L152" s="1" t="n">
        <v>20.49692273798075</v>
      </c>
      <c r="M152" s="1" t="n">
        <v>-9.433248168064855</v>
      </c>
      <c r="N152" s="1">
        <f>SUM(J152+N151)</f>
        <v/>
      </c>
      <c r="O152" s="2">
        <f>ROUND(SUM(O151+F152),1)</f>
        <v/>
      </c>
    </row>
    <row r="153">
      <c r="A153" s="3" t="inlineStr">
        <is>
          <t>10.9</t>
        </is>
      </c>
      <c r="B153" s="3" t="inlineStr">
        <is>
          <t>10.9'</t>
        </is>
      </c>
      <c r="C153" s="1" t="n">
        <v>2.56</v>
      </c>
      <c r="D153" s="4" t="n">
        <v>320</v>
      </c>
      <c r="E153" s="4" t="n">
        <v>5</v>
      </c>
      <c r="F153" s="1">
        <f>C153*COS(RADIANS(E153))</f>
        <v/>
      </c>
      <c r="G153" s="1">
        <f>C153*COS(RADIANS(E153)) *SIN(RADIANS(D153))</f>
        <v/>
      </c>
      <c r="H153" s="1">
        <f>C153*COS(RADIANS(E153))*COS(RADIANS(D153))</f>
        <v/>
      </c>
      <c r="I153" s="1">
        <f>C153*SIN(RADIANS(E153))</f>
        <v/>
      </c>
      <c r="J153" s="1">
        <f>C153*COS(RADIANS(E153))*COS(RADIANS(D153-180))</f>
        <v/>
      </c>
      <c r="K153" s="1">
        <f>SUM(K152+G153)</f>
        <v/>
      </c>
      <c r="L153" s="1">
        <f>SUM(L152+H153)</f>
        <v/>
      </c>
      <c r="M153" s="1">
        <f>SUM(M152+I153)</f>
        <v/>
      </c>
      <c r="N153" s="1">
        <f>SUM(J153+N152)</f>
        <v/>
      </c>
      <c r="O153" s="2">
        <f>ROUND(SUM(O152+F153),1)</f>
        <v/>
      </c>
    </row>
    <row r="154">
      <c r="A154" s="3" t="inlineStr">
        <is>
          <t>10.9'</t>
        </is>
      </c>
      <c r="B154" s="3" t="inlineStr">
        <is>
          <t>10.9''</t>
        </is>
      </c>
      <c r="C154" s="1" t="n">
        <v>5.25</v>
      </c>
      <c r="D154" s="4" t="n">
        <v>318</v>
      </c>
      <c r="E154" s="4" t="n">
        <v>-33</v>
      </c>
      <c r="F154" s="1">
        <f>C154*COS(RADIANS(E154))</f>
        <v/>
      </c>
      <c r="G154" s="1">
        <f>C154*COS(RADIANS(E154)) *SIN(RADIANS(D154))</f>
        <v/>
      </c>
      <c r="H154" s="1">
        <f>C154*COS(RADIANS(E154))*COS(RADIANS(D154))</f>
        <v/>
      </c>
      <c r="I154" s="1">
        <f>C154*SIN(RADIANS(E154))</f>
        <v/>
      </c>
      <c r="J154" s="1">
        <f>C154*COS(RADIANS(E154))*COS(RADIANS(D154-180))</f>
        <v/>
      </c>
      <c r="K154" s="1">
        <f>SUM(K153+G154)</f>
        <v/>
      </c>
      <c r="L154" s="1">
        <f>SUM(L153+H154)</f>
        <v/>
      </c>
      <c r="M154" s="1">
        <f>SUM(M153+I154)</f>
        <v/>
      </c>
      <c r="N154" s="1">
        <f>SUM(J154+N153)</f>
        <v/>
      </c>
      <c r="O154" s="2">
        <f>ROUND(SUM(O153+F154),1)</f>
        <v/>
      </c>
    </row>
    <row r="155">
      <c r="A155" s="3" t="n"/>
      <c r="B155" s="3" t="n"/>
      <c r="C155" s="1" t="n"/>
      <c r="D155" s="4" t="n"/>
      <c r="E155" s="4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2" t="n"/>
    </row>
    <row r="156">
      <c r="A156" s="3" t="n"/>
      <c r="B156" s="3" t="inlineStr">
        <is>
          <t>10.9</t>
        </is>
      </c>
      <c r="C156" s="1" t="n"/>
      <c r="D156" s="4" t="n"/>
      <c r="E156" s="4" t="n"/>
      <c r="F156" s="1" t="n"/>
      <c r="G156" s="1" t="n"/>
      <c r="H156" s="1" t="n"/>
      <c r="I156" s="1" t="n"/>
      <c r="J156" s="1" t="n"/>
      <c r="K156" s="1" t="n">
        <v>19.48412653094276</v>
      </c>
      <c r="L156" s="1" t="n">
        <v>20.49692273798075</v>
      </c>
      <c r="M156" s="1" t="n">
        <v>-9.433248168064855</v>
      </c>
      <c r="N156" s="1">
        <f>SUM(J156+N155)</f>
        <v/>
      </c>
      <c r="O156" s="2">
        <f>ROUND(SUM(O155+F156),1)</f>
        <v/>
      </c>
    </row>
    <row r="157">
      <c r="A157" s="3" t="inlineStr">
        <is>
          <t>10.9</t>
        </is>
      </c>
      <c r="B157" s="3" t="inlineStr">
        <is>
          <t>10.9.1</t>
        </is>
      </c>
      <c r="C157" s="1" t="n">
        <v>2.65</v>
      </c>
      <c r="D157" s="4" t="n">
        <v>126</v>
      </c>
      <c r="E157" s="4" t="n">
        <v>27</v>
      </c>
      <c r="F157" s="1">
        <f>C157*COS(RADIANS(E157))</f>
        <v/>
      </c>
      <c r="G157" s="1">
        <f>C157*COS(RADIANS(E157)) *SIN(RADIANS(D157))</f>
        <v/>
      </c>
      <c r="H157" s="1">
        <f>C157*COS(RADIANS(E157))*COS(RADIANS(D157))</f>
        <v/>
      </c>
      <c r="I157" s="1">
        <f>C157*SIN(RADIANS(E157))</f>
        <v/>
      </c>
      <c r="J157" s="1">
        <f>C157*COS(RADIANS(E157))*COS(RADIANS(D157-180))</f>
        <v/>
      </c>
      <c r="K157" s="1">
        <f>SUM(K156+G157)</f>
        <v/>
      </c>
      <c r="L157" s="1">
        <f>SUM(L156+H157)</f>
        <v/>
      </c>
      <c r="M157" s="1">
        <f>SUM(M156+I157)</f>
        <v/>
      </c>
      <c r="N157" s="1">
        <f>SUM(J157+N156)</f>
        <v/>
      </c>
      <c r="O157" s="2">
        <f>ROUND(SUM(O156+F157),1)</f>
        <v/>
      </c>
    </row>
    <row r="158">
      <c r="A158" s="3" t="inlineStr">
        <is>
          <t>10.9.1</t>
        </is>
      </c>
      <c r="B158" s="3" t="inlineStr">
        <is>
          <t>10.9.2</t>
        </is>
      </c>
      <c r="C158" s="1" t="n">
        <v>2.58</v>
      </c>
      <c r="D158" s="4" t="n">
        <v>64</v>
      </c>
      <c r="E158" s="4" t="n">
        <v>35</v>
      </c>
      <c r="F158" s="1">
        <f>C158*COS(RADIANS(E158))</f>
        <v/>
      </c>
      <c r="G158" s="1">
        <f>C158*COS(RADIANS(E158)) *SIN(RADIANS(D158))</f>
        <v/>
      </c>
      <c r="H158" s="1">
        <f>C158*COS(RADIANS(E158))*COS(RADIANS(D158))</f>
        <v/>
      </c>
      <c r="I158" s="1">
        <f>C158*SIN(RADIANS(E158))</f>
        <v/>
      </c>
      <c r="J158" s="1">
        <f>C158*COS(RADIANS(E158))*COS(RADIANS(D158-180))</f>
        <v/>
      </c>
      <c r="K158" s="1">
        <f>SUM(K157+G158)</f>
        <v/>
      </c>
      <c r="L158" s="1">
        <f>SUM(L157+H158)</f>
        <v/>
      </c>
      <c r="M158" s="1">
        <f>SUM(M157+I158)</f>
        <v/>
      </c>
      <c r="N158" s="1">
        <f>SUM(J158+N157)</f>
        <v/>
      </c>
      <c r="O158" s="2">
        <f>ROUND(SUM(O157+F158),1)</f>
        <v/>
      </c>
      <c r="P158" s="1" t="inlineStr">
        <is>
          <t>Salka Fikro</t>
        </is>
      </c>
    </row>
    <row r="159">
      <c r="A159" s="3" t="inlineStr">
        <is>
          <t>10.9.2</t>
        </is>
      </c>
      <c r="B159" s="3" t="inlineStr">
        <is>
          <t>10.9.3</t>
        </is>
      </c>
      <c r="C159" s="1" t="n">
        <v>3.9</v>
      </c>
      <c r="D159" s="4" t="n">
        <v>357</v>
      </c>
      <c r="E159" s="4" t="n">
        <v>33</v>
      </c>
      <c r="F159" s="1">
        <f>C159*COS(RADIANS(E159))</f>
        <v/>
      </c>
      <c r="G159" s="1">
        <f>C159*COS(RADIANS(E159)) *SIN(RADIANS(D159))</f>
        <v/>
      </c>
      <c r="H159" s="1">
        <f>C159*COS(RADIANS(E159))*COS(RADIANS(D159))</f>
        <v/>
      </c>
      <c r="I159" s="1">
        <f>C159*SIN(RADIANS(E159))</f>
        <v/>
      </c>
      <c r="J159" s="1">
        <f>C159*COS(RADIANS(E159))*COS(RADIANS(D159-180))</f>
        <v/>
      </c>
      <c r="K159" s="1">
        <f>SUM(K158+G159)</f>
        <v/>
      </c>
      <c r="L159" s="1">
        <f>SUM(L158+H159)</f>
        <v/>
      </c>
      <c r="M159" s="1">
        <f>SUM(M158+I159)</f>
        <v/>
      </c>
      <c r="N159" s="1">
        <f>SUM(J159+N158)</f>
        <v/>
      </c>
      <c r="O159" s="2">
        <f>ROUND(SUM(O158+F159),1)</f>
        <v/>
      </c>
    </row>
    <row r="160">
      <c r="A160" s="3" t="inlineStr">
        <is>
          <t>10.9.3</t>
        </is>
      </c>
      <c r="B160" s="3" t="inlineStr">
        <is>
          <t>10.9.4</t>
        </is>
      </c>
      <c r="C160" s="1" t="n">
        <v>5.7</v>
      </c>
      <c r="D160" s="4" t="n">
        <v>274</v>
      </c>
      <c r="E160" s="4" t="n">
        <v>-25</v>
      </c>
      <c r="F160" s="1">
        <f>C160*COS(RADIANS(E160))</f>
        <v/>
      </c>
      <c r="G160" s="1">
        <f>C160*COS(RADIANS(E160)) *SIN(RADIANS(D160))</f>
        <v/>
      </c>
      <c r="H160" s="1">
        <f>C160*COS(RADIANS(E160))*COS(RADIANS(D160))</f>
        <v/>
      </c>
      <c r="I160" s="1">
        <f>C160*SIN(RADIANS(E160))</f>
        <v/>
      </c>
      <c r="J160" s="1">
        <f>C160*COS(RADIANS(E160))*COS(RADIANS(D160-180))</f>
        <v/>
      </c>
      <c r="K160" s="1">
        <f>SUM(K159+G160)</f>
        <v/>
      </c>
      <c r="L160" s="1">
        <f>SUM(L159+H160)</f>
        <v/>
      </c>
      <c r="M160" s="1">
        <f>SUM(M159+I160)</f>
        <v/>
      </c>
      <c r="N160" s="1">
        <f>SUM(J160+N159)</f>
        <v/>
      </c>
      <c r="O160" s="2">
        <f>ROUND(SUM(O159+F160),1)</f>
        <v/>
      </c>
    </row>
    <row r="161">
      <c r="A161" s="3" t="inlineStr">
        <is>
          <t>10.9.4</t>
        </is>
      </c>
      <c r="B161" s="3" t="inlineStr">
        <is>
          <t>10.7</t>
        </is>
      </c>
      <c r="C161" s="1" t="n">
        <v>4.6</v>
      </c>
      <c r="D161" s="4" t="n">
        <v>251</v>
      </c>
      <c r="E161" s="4" t="n">
        <v>-28</v>
      </c>
      <c r="F161" s="1">
        <f>C161*COS(RADIANS(E161))</f>
        <v/>
      </c>
      <c r="G161" s="1">
        <f>C161*COS(RADIANS(E161)) *SIN(RADIANS(D161))</f>
        <v/>
      </c>
      <c r="H161" s="1">
        <f>C161*COS(RADIANS(E161))*COS(RADIANS(D161))</f>
        <v/>
      </c>
      <c r="I161" s="1">
        <f>C161*SIN(RADIANS(E161))</f>
        <v/>
      </c>
      <c r="J161" s="1">
        <f>C161*COS(RADIANS(E161))*COS(RADIANS(D161-180))</f>
        <v/>
      </c>
      <c r="K161" s="1">
        <f>SUM(K160+G161)</f>
        <v/>
      </c>
      <c r="L161" s="1">
        <f>SUM(L160+H161)</f>
        <v/>
      </c>
      <c r="M161" s="1">
        <f>SUM(M160+I161)</f>
        <v/>
      </c>
      <c r="N161" s="1">
        <f>SUM(J161+N160)</f>
        <v/>
      </c>
      <c r="O161" s="2">
        <f>ROUND(SUM(O160+F161),1)</f>
        <v/>
      </c>
    </row>
    <row r="162">
      <c r="A162" s="1" t="n"/>
      <c r="B162" s="1" t="n"/>
    </row>
    <row r="163">
      <c r="A163" s="1" t="n"/>
      <c r="B163" s="1" t="n"/>
    </row>
    <row r="164">
      <c r="A164" s="1" t="n"/>
      <c r="B164" s="1" t="n"/>
    </row>
    <row r="165">
      <c r="A165" s="1" t="n"/>
      <c r="B165" s="1" t="n"/>
    </row>
    <row r="166">
      <c r="A166" s="1" t="n"/>
      <c r="B166" s="1" t="n"/>
    </row>
    <row r="167">
      <c r="A167" s="1" t="n"/>
      <c r="B167" s="1" t="n"/>
    </row>
    <row r="168">
      <c r="A168" s="1" t="n"/>
      <c r="B168" s="1" t="n"/>
    </row>
    <row r="169">
      <c r="A169" s="1" t="n"/>
      <c r="B169" s="1" t="n"/>
    </row>
    <row r="170">
      <c r="A170" s="1" t="n"/>
      <c r="B170" s="1" t="n"/>
    </row>
    <row r="171">
      <c r="A171" s="1" t="n"/>
      <c r="B171" s="1" t="n"/>
    </row>
    <row r="172">
      <c r="A172" s="1" t="n"/>
      <c r="B172" s="1" t="n"/>
    </row>
    <row r="173">
      <c r="A173" s="1" t="n"/>
      <c r="B173" s="1" t="n"/>
    </row>
    <row r="174">
      <c r="A174" s="1" t="n"/>
      <c r="B174" s="1" t="n"/>
    </row>
    <row r="175">
      <c r="A175" s="1" t="n"/>
      <c r="B175" s="1" t="n"/>
    </row>
    <row r="176">
      <c r="A176" s="1" t="n"/>
      <c r="B176" s="1" t="n"/>
    </row>
    <row r="177">
      <c r="A177" s="1" t="n"/>
      <c r="B177" s="1" t="n"/>
    </row>
    <row r="178">
      <c r="A178" s="1" t="n"/>
      <c r="B17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