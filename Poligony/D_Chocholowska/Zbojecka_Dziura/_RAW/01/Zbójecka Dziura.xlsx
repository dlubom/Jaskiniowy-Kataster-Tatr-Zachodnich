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bójecka Dzi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1" t="n"/>
      <c r="K2" t="n">
        <v>0</v>
      </c>
      <c r="L2" t="n">
        <v>0</v>
      </c>
      <c r="M2" t="n">
        <v>0</v>
      </c>
      <c r="N2" t="n">
        <v>0</v>
      </c>
      <c r="P2" s="2">
        <f>SUM(C3:C9999)</f>
        <v/>
      </c>
      <c r="Q2" s="2">
        <f>ROUND(MIN(M2:M9999),1)</f>
        <v/>
      </c>
      <c r="R2" s="2">
        <f>ROUND(MAX(M2:M9999),1)</f>
        <v/>
      </c>
      <c r="S2" s="2">
        <f>ABS((R2)-(Q2))</f>
        <v/>
      </c>
      <c r="T2">
        <f>ROUND(ABS(MAX(K2:K9999)-MIN(K2:K9999)),1)</f>
        <v/>
      </c>
      <c r="U2">
        <f>ROUND(ABS(MAX(L2:L9999)-MIN(L2:L9999)),1)</f>
        <v/>
      </c>
    </row>
    <row r="3">
      <c r="A3" s="3" t="inlineStr">
        <is>
          <t>0</t>
        </is>
      </c>
      <c r="B3" s="3" t="inlineStr">
        <is>
          <t>1</t>
        </is>
      </c>
      <c r="C3" s="1" t="n">
        <v>13.3</v>
      </c>
      <c r="D3" s="4" t="n">
        <v>297</v>
      </c>
      <c r="E3" s="4" t="n">
        <v>-19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1" t="n">
        <v>10.15</v>
      </c>
      <c r="D4" s="4" t="n">
        <v>287</v>
      </c>
      <c r="E4" s="4" t="n">
        <v>-9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A5" s="3" t="inlineStr">
        <is>
          <t>2</t>
        </is>
      </c>
      <c r="B5" s="3" t="inlineStr">
        <is>
          <t>3</t>
        </is>
      </c>
      <c r="C5" s="1" t="n">
        <v>9.15</v>
      </c>
      <c r="D5" s="4" t="n">
        <v>343</v>
      </c>
      <c r="E5" s="4" t="n">
        <v>-7</v>
      </c>
      <c r="F5" s="1">
        <f>C5*COS(RADIANS(E5))</f>
        <v/>
      </c>
      <c r="G5" s="1">
        <f>C5*COS(RADIANS(E5)) *SIN(RADIANS(D5))</f>
        <v/>
      </c>
      <c r="H5" s="1">
        <f>C5*COS(RADIANS(E5))*COS(RADIANS(D5))</f>
        <v/>
      </c>
      <c r="I5" s="1">
        <f>C5*SIN(RADIANS(E5))</f>
        <v/>
      </c>
      <c r="J5" s="1">
        <f>C5*COS(RADIANS(E5))*COS(RADIANS(D5-180))</f>
        <v/>
      </c>
      <c r="K5" s="1">
        <f>SUM(K4+G5)</f>
        <v/>
      </c>
      <c r="L5" s="1">
        <f>SUM(L4+H5)</f>
        <v/>
      </c>
      <c r="M5" s="1">
        <f>SUM(M4+I5)</f>
        <v/>
      </c>
      <c r="N5" s="1">
        <f>SUM(J5+N4)</f>
        <v/>
      </c>
      <c r="O5" s="2">
        <f>ROUND(SUM(O4+F5),1)</f>
        <v/>
      </c>
      <c r="Q5" s="4" t="n"/>
    </row>
    <row r="6">
      <c r="A6" s="3" t="inlineStr">
        <is>
          <t>3</t>
        </is>
      </c>
      <c r="B6" s="3" t="inlineStr">
        <is>
          <t>4</t>
        </is>
      </c>
      <c r="C6" s="1" t="n">
        <v>3.55</v>
      </c>
      <c r="D6" s="4" t="n">
        <v>318</v>
      </c>
      <c r="E6" s="4" t="n">
        <v>8</v>
      </c>
      <c r="F6" s="1">
        <f>C6*COS(RADIANS(E6))</f>
        <v/>
      </c>
      <c r="G6" s="1">
        <f>C6*COS(RADIANS(E6)) *SIN(RADIANS(D6))</f>
        <v/>
      </c>
      <c r="H6" s="1">
        <f>C6*COS(RADIANS(E6))*COS(RADIANS(D6))</f>
        <v/>
      </c>
      <c r="I6" s="1">
        <f>C6*SIN(RADIANS(E6))</f>
        <v/>
      </c>
      <c r="J6" s="1">
        <f>C6*COS(RADIANS(E6))*COS(RADIANS(D6-180))</f>
        <v/>
      </c>
      <c r="K6" s="1">
        <f>SUM(K5+G6)</f>
        <v/>
      </c>
      <c r="L6" s="1">
        <f>SUM(L5+H6)</f>
        <v/>
      </c>
      <c r="M6" s="1">
        <f>SUM(M5+I6)</f>
        <v/>
      </c>
      <c r="N6" s="1">
        <f>SUM(J6+N5)</f>
        <v/>
      </c>
      <c r="O6" s="2">
        <f>ROUND(SUM(O5+F6),1)</f>
        <v/>
      </c>
      <c r="Q6" s="4" t="n"/>
    </row>
    <row r="7">
      <c r="A7" s="3" t="inlineStr">
        <is>
          <t>4</t>
        </is>
      </c>
      <c r="B7" s="3" t="inlineStr">
        <is>
          <t>5</t>
        </is>
      </c>
      <c r="C7" s="1" t="n">
        <v>2.25</v>
      </c>
      <c r="D7" s="4" t="n">
        <v>36</v>
      </c>
      <c r="E7" s="4" t="n">
        <v>-10</v>
      </c>
      <c r="F7" s="1">
        <f>C7*COS(RADIANS(E7))</f>
        <v/>
      </c>
      <c r="G7" s="1">
        <f>C7*COS(RADIANS(E7)) *SIN(RADIANS(D7))</f>
        <v/>
      </c>
      <c r="H7" s="1">
        <f>C7*COS(RADIANS(E7))*COS(RADIANS(D7))</f>
        <v/>
      </c>
      <c r="I7" s="1">
        <f>C7*SIN(RADIANS(E7))</f>
        <v/>
      </c>
      <c r="J7" s="1">
        <f>C7*COS(RADIANS(E7))*COS(RADIANS(D7-180))</f>
        <v/>
      </c>
      <c r="K7" s="1">
        <f>SUM(K6+G7)</f>
        <v/>
      </c>
      <c r="L7" s="1">
        <f>SUM(L6+H7)</f>
        <v/>
      </c>
      <c r="M7" s="1">
        <f>SUM(M6+I7)</f>
        <v/>
      </c>
      <c r="N7" s="1">
        <f>SUM(J7+N6)</f>
        <v/>
      </c>
      <c r="O7" s="2">
        <f>ROUND(SUM(O6+F7),1)</f>
        <v/>
      </c>
      <c r="Q7" s="4" t="n"/>
    </row>
    <row r="8">
      <c r="A8" s="3" t="inlineStr">
        <is>
          <t>5</t>
        </is>
      </c>
      <c r="B8" s="3" t="inlineStr">
        <is>
          <t>6</t>
        </is>
      </c>
      <c r="C8" s="1" t="n">
        <v>3.1</v>
      </c>
      <c r="D8" s="4" t="n">
        <v>81</v>
      </c>
      <c r="E8" s="4" t="n">
        <v>12</v>
      </c>
      <c r="F8" s="1">
        <f>C8*COS(RADIANS(E8))</f>
        <v/>
      </c>
      <c r="G8" s="1">
        <f>C8*COS(RADIANS(E8)) *SIN(RADIANS(D8))</f>
        <v/>
      </c>
      <c r="H8" s="1">
        <f>C8*COS(RADIANS(E8))*COS(RADIANS(D8))</f>
        <v/>
      </c>
      <c r="I8" s="1">
        <f>C8*SIN(RADIANS(E8))</f>
        <v/>
      </c>
      <c r="J8" s="1">
        <f>C8*COS(RADIANS(E8))*COS(RADIANS(D8-180))</f>
        <v/>
      </c>
      <c r="K8" s="1">
        <f>SUM(K7+G8)</f>
        <v/>
      </c>
      <c r="L8" s="1">
        <f>SUM(L7+H8)</f>
        <v/>
      </c>
      <c r="M8" s="1">
        <f>SUM(M7+I8)</f>
        <v/>
      </c>
      <c r="N8" s="1">
        <f>SUM(J8+N7)</f>
        <v/>
      </c>
      <c r="O8" s="2">
        <f>ROUND(SUM(O7+F8),1)</f>
        <v/>
      </c>
      <c r="Q8" s="4" t="n"/>
    </row>
    <row r="9">
      <c r="A9" s="3" t="inlineStr">
        <is>
          <t>6</t>
        </is>
      </c>
      <c r="B9" s="3" t="inlineStr">
        <is>
          <t>7</t>
        </is>
      </c>
      <c r="C9" s="1" t="n">
        <v>6.6</v>
      </c>
      <c r="D9" s="4" t="n">
        <v>20</v>
      </c>
      <c r="E9" s="4" t="n">
        <v>4</v>
      </c>
      <c r="F9" s="1">
        <f>C9*COS(RADIANS(E9))</f>
        <v/>
      </c>
      <c r="G9" s="1">
        <f>C9*COS(RADIANS(E9)) *SIN(RADIANS(D9))</f>
        <v/>
      </c>
      <c r="H9" s="1">
        <f>C9*COS(RADIANS(E9))*COS(RADIANS(D9))</f>
        <v/>
      </c>
      <c r="I9" s="1">
        <f>C9*SIN(RADIANS(E9))</f>
        <v/>
      </c>
      <c r="J9" s="1">
        <f>C9*COS(RADIANS(E9))*COS(RADIANS(D9-180))</f>
        <v/>
      </c>
      <c r="K9" s="1">
        <f>SUM(K8+G9)</f>
        <v/>
      </c>
      <c r="L9" s="1">
        <f>SUM(L8+H9)</f>
        <v/>
      </c>
      <c r="M9" s="1">
        <f>SUM(M8+I9)</f>
        <v/>
      </c>
      <c r="N9" s="1">
        <f>SUM(J9+N8)</f>
        <v/>
      </c>
      <c r="O9" s="2">
        <f>ROUND(SUM(O8+F9),1)</f>
        <v/>
      </c>
      <c r="Q9" s="4" t="n"/>
    </row>
    <row r="10">
      <c r="A10" s="3" t="inlineStr">
        <is>
          <t>7</t>
        </is>
      </c>
      <c r="B10" s="3" t="inlineStr">
        <is>
          <t>8</t>
        </is>
      </c>
      <c r="C10" s="1" t="n">
        <v>3</v>
      </c>
      <c r="D10" s="4" t="n">
        <v>17</v>
      </c>
      <c r="E10" s="4" t="n">
        <v>20</v>
      </c>
      <c r="F10" s="1">
        <f>C10*COS(RADIANS(E10))</f>
        <v/>
      </c>
      <c r="G10" s="1">
        <f>C10*COS(RADIANS(E10)) *SIN(RADIANS(D10))</f>
        <v/>
      </c>
      <c r="H10" s="1">
        <f>C10*COS(RADIANS(E10))*COS(RADIANS(D10))</f>
        <v/>
      </c>
      <c r="I10" s="1">
        <f>C10*SIN(RADIANS(E10))</f>
        <v/>
      </c>
      <c r="J10" s="1">
        <f>C10*COS(RADIANS(E10))*COS(RADIANS(D10-180))</f>
        <v/>
      </c>
      <c r="K10" s="1">
        <f>SUM(K9+G10)</f>
        <v/>
      </c>
      <c r="L10" s="1">
        <f>SUM(L9+H10)</f>
        <v/>
      </c>
      <c r="M10" s="1">
        <f>SUM(M9+I10)</f>
        <v/>
      </c>
      <c r="N10" s="1">
        <f>SUM(J10+N9)</f>
        <v/>
      </c>
      <c r="O10" s="2">
        <f>ROUND(SUM(O9+F10),1)</f>
        <v/>
      </c>
      <c r="Q10" s="4" t="n"/>
    </row>
    <row r="11">
      <c r="A11" s="3" t="n"/>
      <c r="B11" s="3" t="n"/>
      <c r="C11" s="1" t="n"/>
      <c r="D11" s="4" t="n"/>
      <c r="E11" s="4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2" t="n"/>
      <c r="Q11" s="4" t="n"/>
    </row>
    <row r="12">
      <c r="A12" s="3" t="n"/>
      <c r="B12" s="3" t="inlineStr">
        <is>
          <t>3</t>
        </is>
      </c>
      <c r="C12" s="1" t="n">
        <v>0</v>
      </c>
      <c r="D12" s="4" t="n">
        <v>0</v>
      </c>
      <c r="E12" s="4" t="n">
        <v>0</v>
      </c>
      <c r="F12" s="1">
        <f>C12*COS(RADIANS(E12))</f>
        <v/>
      </c>
      <c r="G12" s="1">
        <f>C12*COS(RADIANS(E12)) *SIN(RADIANS(D12))</f>
        <v/>
      </c>
      <c r="H12" s="1">
        <f>C12*COS(RADIANS(E12))*COS(RADIANS(D12))</f>
        <v/>
      </c>
      <c r="I12" s="1">
        <f>C12*SIN(RADIANS(E12))</f>
        <v/>
      </c>
      <c r="J12" s="1">
        <f>C12*COS(RADIANS(E12))*COS(RADIANS(D12-180))</f>
        <v/>
      </c>
      <c r="K12" s="1" t="n">
        <v>-23.45</v>
      </c>
      <c r="L12" s="1" t="n">
        <v>17.33</v>
      </c>
      <c r="M12" s="1" t="n">
        <v>-7.03</v>
      </c>
      <c r="N12" s="1">
        <f>SUM(J12+N11)</f>
        <v/>
      </c>
      <c r="O12" s="2">
        <f>ROUND(SUM(O11+F12),1)</f>
        <v/>
      </c>
      <c r="Q12" s="4" t="n"/>
    </row>
    <row r="13">
      <c r="A13" s="3" t="inlineStr">
        <is>
          <t>3</t>
        </is>
      </c>
      <c r="B13" s="3" t="inlineStr">
        <is>
          <t>3'</t>
        </is>
      </c>
      <c r="C13" s="1" t="n">
        <v>4.6</v>
      </c>
      <c r="D13" s="4" t="n">
        <v>42</v>
      </c>
      <c r="E13" s="4" t="n">
        <v>5</v>
      </c>
      <c r="F13" s="1">
        <f>C13*COS(RADIANS(E13))</f>
        <v/>
      </c>
      <c r="G13" s="1">
        <f>C13*COS(RADIANS(E13)) *SIN(RADIANS(D13))</f>
        <v/>
      </c>
      <c r="H13" s="1">
        <f>C13*COS(RADIANS(E13))*COS(RADIANS(D13))</f>
        <v/>
      </c>
      <c r="I13" s="1">
        <f>C13*SIN(RADIANS(E13))</f>
        <v/>
      </c>
      <c r="J13" s="1">
        <f>C13*COS(RADIANS(E13))*COS(RADIANS(D13-180))</f>
        <v/>
      </c>
      <c r="K13" s="1">
        <f>SUM(K12+G13)</f>
        <v/>
      </c>
      <c r="L13" s="1">
        <f>SUM(L12+H13)</f>
        <v/>
      </c>
      <c r="M13" s="1">
        <f>SUM(M12+I13)</f>
        <v/>
      </c>
      <c r="N13" s="1">
        <f>SUM(J13+N12)</f>
        <v/>
      </c>
      <c r="O13" s="2">
        <f>ROUND(SUM(O12+F13),1)</f>
        <v/>
      </c>
    </row>
    <row r="14">
      <c r="A14" s="3" t="n"/>
      <c r="B14" s="3" t="n"/>
      <c r="C14" s="1" t="n"/>
      <c r="D14" s="4" t="n"/>
      <c r="E14" s="4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2" t="n"/>
    </row>
    <row r="15">
      <c r="A15" s="3" t="n"/>
      <c r="B15" s="3" t="inlineStr">
        <is>
          <t>5</t>
        </is>
      </c>
      <c r="C15" s="1" t="n">
        <v>0</v>
      </c>
      <c r="D15" s="4" t="n">
        <v>0</v>
      </c>
      <c r="E15" s="4" t="n">
        <v>0</v>
      </c>
      <c r="F15" s="1">
        <f>C15*COS(RADIANS(E15))</f>
        <v/>
      </c>
      <c r="G15" s="1">
        <f>C15*COS(RADIANS(E15)) *SIN(RADIANS(D15))</f>
        <v/>
      </c>
      <c r="H15" s="1">
        <f>C15*COS(RADIANS(E15))*COS(RADIANS(D15))</f>
        <v/>
      </c>
      <c r="I15" s="1">
        <f>C15*SIN(RADIANS(E15))</f>
        <v/>
      </c>
      <c r="J15" s="1">
        <f>C15*COS(RADIANS(E15))*COS(RADIANS(D15-180))</f>
        <v/>
      </c>
      <c r="K15" s="1" t="n">
        <v>-24.5</v>
      </c>
      <c r="L15" s="1" t="n">
        <v>21.73</v>
      </c>
      <c r="M15" s="1" t="n">
        <v>-6.93</v>
      </c>
      <c r="N15" s="1">
        <f>SUM(J15+N14)</f>
        <v/>
      </c>
      <c r="O15" s="2">
        <f>ROUND(SUM(O14+F15),1)</f>
        <v/>
      </c>
    </row>
    <row r="16">
      <c r="A16" s="3" t="inlineStr">
        <is>
          <t>5</t>
        </is>
      </c>
      <c r="B16" s="3" t="inlineStr">
        <is>
          <t>5'</t>
        </is>
      </c>
      <c r="C16" s="1" t="n">
        <v>3.25</v>
      </c>
      <c r="D16" s="4" t="n">
        <v>35</v>
      </c>
      <c r="E16" s="4" t="n">
        <v>9</v>
      </c>
      <c r="F16" s="1">
        <f>C16*COS(RADIANS(E16))</f>
        <v/>
      </c>
      <c r="G16" s="1">
        <f>C16*COS(RADIANS(E16)) *SIN(RADIANS(D16))</f>
        <v/>
      </c>
      <c r="H16" s="1">
        <f>C16*COS(RADIANS(E16))*COS(RADIANS(D16))</f>
        <v/>
      </c>
      <c r="I16" s="1">
        <f>C16*SIN(RADIANS(E16))</f>
        <v/>
      </c>
      <c r="J16" s="1">
        <f>C16*COS(RADIANS(E16))*COS(RADIANS(D16-180))</f>
        <v/>
      </c>
      <c r="K16" s="1">
        <f>SUM(K15+G16)</f>
        <v/>
      </c>
      <c r="L16" s="1">
        <f>SUM(L15+H16)</f>
        <v/>
      </c>
      <c r="M16" s="1">
        <f>SUM(M15+I16)</f>
        <v/>
      </c>
      <c r="N16" s="1">
        <f>SUM(J16+N15)</f>
        <v/>
      </c>
      <c r="O16" s="2">
        <f>ROUND(SUM(O15+F16),1)</f>
        <v/>
      </c>
    </row>
    <row r="17">
      <c r="A17" s="3" t="n"/>
      <c r="B17" s="3" t="n"/>
      <c r="C17" s="1" t="n"/>
      <c r="D17" s="4" t="n"/>
      <c r="E17" s="4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2" t="n"/>
    </row>
    <row r="18">
      <c r="A18" s="3" t="n"/>
      <c r="B18" s="3" t="inlineStr">
        <is>
          <t>3</t>
        </is>
      </c>
      <c r="C18" s="1" t="n">
        <v>0</v>
      </c>
      <c r="D18" s="4" t="n">
        <v>0</v>
      </c>
      <c r="E18" s="4" t="n">
        <v>0</v>
      </c>
      <c r="F18" s="1">
        <f>C18*COS(RADIANS(E18))</f>
        <v/>
      </c>
      <c r="G18" s="1">
        <f>C18*COS(RADIANS(E18)) *SIN(RADIANS(D18))</f>
        <v/>
      </c>
      <c r="H18" s="1">
        <f>C18*COS(RADIANS(E18))*COS(RADIANS(D18))</f>
        <v/>
      </c>
      <c r="I18" s="1">
        <f>C18*SIN(RADIANS(E18))</f>
        <v/>
      </c>
      <c r="J18" s="1">
        <f>C18*COS(RADIANS(E18))*COS(RADIANS(D18-180))</f>
        <v/>
      </c>
      <c r="K18" s="1" t="n">
        <v>-23.45</v>
      </c>
      <c r="L18" s="1" t="n">
        <v>17.33</v>
      </c>
      <c r="M18" s="1" t="n">
        <v>-7.03</v>
      </c>
      <c r="N18" s="1">
        <f>SUM(J18+N17)</f>
        <v/>
      </c>
      <c r="O18" s="2">
        <f>ROUND(SUM(O17+F18),1)</f>
        <v/>
      </c>
    </row>
    <row r="19">
      <c r="A19" s="3" t="inlineStr">
        <is>
          <t>3</t>
        </is>
      </c>
      <c r="B19" s="3" t="inlineStr">
        <is>
          <t>3.1</t>
        </is>
      </c>
      <c r="C19" s="1" t="n">
        <v>1.6</v>
      </c>
      <c r="D19" s="4" t="n">
        <v>265</v>
      </c>
      <c r="E19" s="4" t="n">
        <v>12</v>
      </c>
      <c r="F19" s="1">
        <f>C19*COS(RADIANS(E19))</f>
        <v/>
      </c>
      <c r="G19" s="1">
        <f>C19*COS(RADIANS(E19)) *SIN(RADIANS(D19))</f>
        <v/>
      </c>
      <c r="H19" s="1">
        <f>C19*COS(RADIANS(E19))*COS(RADIANS(D19))</f>
        <v/>
      </c>
      <c r="I19" s="1">
        <f>C19*SIN(RADIANS(E19))</f>
        <v/>
      </c>
      <c r="J19" s="1">
        <f>C19*COS(RADIANS(E19))*COS(RADIANS(D19-180))</f>
        <v/>
      </c>
      <c r="K19" s="1">
        <f>SUM(K18+G19)</f>
        <v/>
      </c>
      <c r="L19" s="1">
        <f>SUM(L18+H19)</f>
        <v/>
      </c>
      <c r="M19" s="1">
        <f>SUM(M18+I19)</f>
        <v/>
      </c>
      <c r="N19" s="1">
        <f>SUM(J19+N18)</f>
        <v/>
      </c>
      <c r="O19" s="2">
        <f>ROUND(SUM(O18+F19),1)</f>
        <v/>
      </c>
    </row>
    <row r="20">
      <c r="A20" s="3" t="inlineStr">
        <is>
          <t>3.1</t>
        </is>
      </c>
      <c r="B20" s="3" t="inlineStr">
        <is>
          <t>3.1.1</t>
        </is>
      </c>
      <c r="C20" s="1" t="n">
        <v>3.75</v>
      </c>
      <c r="D20" s="4" t="n">
        <v>238</v>
      </c>
      <c r="E20" s="4" t="n">
        <v>-10</v>
      </c>
      <c r="F20" s="1">
        <f>C20*COS(RADIANS(E20))</f>
        <v/>
      </c>
      <c r="G20" s="1">
        <f>C20*COS(RADIANS(E20)) *SIN(RADIANS(D20))</f>
        <v/>
      </c>
      <c r="H20" s="1">
        <f>C20*COS(RADIANS(E20))*COS(RADIANS(D20))</f>
        <v/>
      </c>
      <c r="I20" s="1">
        <f>C20*SIN(RADIANS(E20))</f>
        <v/>
      </c>
      <c r="J20" s="1">
        <f>C20*COS(RADIANS(E20))*COS(RADIANS(D20-180))</f>
        <v/>
      </c>
      <c r="K20" s="1">
        <f>SUM(K19+G20)</f>
        <v/>
      </c>
      <c r="L20" s="1">
        <f>SUM(L19+H20)</f>
        <v/>
      </c>
      <c r="M20" s="1">
        <f>SUM(M19+I20)</f>
        <v/>
      </c>
      <c r="N20" s="1">
        <f>SUM(J20+N19)</f>
        <v/>
      </c>
      <c r="O20" s="2">
        <f>ROUND(SUM(O19+F20),1)</f>
        <v/>
      </c>
    </row>
    <row r="21">
      <c r="A21" s="3" t="inlineStr">
        <is>
          <t>3.1.1</t>
        </is>
      </c>
      <c r="B21" s="3" t="inlineStr">
        <is>
          <t>3.1.2</t>
        </is>
      </c>
      <c r="C21" s="1" t="n">
        <v>1.65</v>
      </c>
      <c r="D21" s="4" t="n">
        <v>0</v>
      </c>
      <c r="E21" s="4" t="n">
        <v>-90</v>
      </c>
      <c r="F21" s="1">
        <f>C21*COS(RADIANS(E21))</f>
        <v/>
      </c>
      <c r="G21" s="1">
        <f>C21*COS(RADIANS(E21)) *SIN(RADIANS(D21))</f>
        <v/>
      </c>
      <c r="H21" s="1">
        <f>C21*COS(RADIANS(E21))*COS(RADIANS(D21))</f>
        <v/>
      </c>
      <c r="I21" s="1">
        <f>C21*SIN(RADIANS(E21))</f>
        <v/>
      </c>
      <c r="J21" s="1">
        <f>C21*COS(RADIANS(E21))*COS(RADIANS(D21-180))</f>
        <v/>
      </c>
      <c r="K21" s="1">
        <f>SUM(K20+G21)</f>
        <v/>
      </c>
      <c r="L21" s="1">
        <f>SUM(L20+H21)</f>
        <v/>
      </c>
      <c r="M21" s="1">
        <f>SUM(M20+I21)</f>
        <v/>
      </c>
      <c r="N21" s="1">
        <f>SUM(J21+N20)</f>
        <v/>
      </c>
      <c r="O21" s="2">
        <f>ROUND(SUM(O20+F21),1)</f>
        <v/>
      </c>
    </row>
    <row r="22">
      <c r="A22" s="3" t="n"/>
      <c r="B22" s="3" t="n"/>
      <c r="C22" s="1" t="n"/>
      <c r="D22" s="4" t="n"/>
      <c r="E22" s="4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2" t="n"/>
    </row>
    <row r="23">
      <c r="A23" s="3" t="n"/>
      <c r="B23" s="3" t="inlineStr">
        <is>
          <t>3.1</t>
        </is>
      </c>
      <c r="C23" s="1" t="n">
        <v>0</v>
      </c>
      <c r="D23" s="4" t="n">
        <v>0</v>
      </c>
      <c r="E23" s="4" t="n">
        <v>0</v>
      </c>
      <c r="F23" s="1">
        <f>C23*COS(RADIANS(E23))</f>
        <v/>
      </c>
      <c r="G23" s="1">
        <f>C23*COS(RADIANS(E23)) *SIN(RADIANS(D23))</f>
        <v/>
      </c>
      <c r="H23" s="1">
        <f>C23*COS(RADIANS(E23))*COS(RADIANS(D23))</f>
        <v/>
      </c>
      <c r="I23" s="1">
        <f>C23*SIN(RADIANS(E23))</f>
        <v/>
      </c>
      <c r="J23" s="1">
        <f>C23*COS(RADIANS(E23))*COS(RADIANS(D23-180))</f>
        <v/>
      </c>
      <c r="K23" s="1" t="n">
        <v>-25.01</v>
      </c>
      <c r="L23" s="1" t="n">
        <v>17.19</v>
      </c>
      <c r="M23" s="1" t="n">
        <v>-6.7</v>
      </c>
      <c r="N23" s="1">
        <f>SUM(J23+N22)</f>
        <v/>
      </c>
      <c r="O23" s="2">
        <f>ROUND(SUM(O22+F23),1)</f>
        <v/>
      </c>
    </row>
    <row r="24">
      <c r="A24" s="3" t="inlineStr">
        <is>
          <t>3.1</t>
        </is>
      </c>
      <c r="B24" s="3" t="inlineStr">
        <is>
          <t>3.2</t>
        </is>
      </c>
      <c r="C24" s="1" t="n">
        <v>1.4</v>
      </c>
      <c r="D24" s="4" t="n">
        <v>275</v>
      </c>
      <c r="E24" s="4" t="n">
        <v>30</v>
      </c>
      <c r="F24" s="1">
        <f>C24*COS(RADIANS(E24))</f>
        <v/>
      </c>
      <c r="G24" s="1">
        <f>C24*COS(RADIANS(E24)) *SIN(RADIANS(D24))</f>
        <v/>
      </c>
      <c r="H24" s="1">
        <f>C24*COS(RADIANS(E24))*COS(RADIANS(D24))</f>
        <v/>
      </c>
      <c r="I24" s="1">
        <f>C24*SIN(RADIANS(E24))</f>
        <v/>
      </c>
      <c r="J24" s="1">
        <f>C24*COS(RADIANS(E24))*COS(RADIANS(D24-180))</f>
        <v/>
      </c>
      <c r="K24" s="1">
        <f>SUM(K23+G24)</f>
        <v/>
      </c>
      <c r="L24" s="1">
        <f>SUM(L23+H24)</f>
        <v/>
      </c>
      <c r="M24" s="1">
        <f>SUM(M23+I24)</f>
        <v/>
      </c>
      <c r="N24" s="1">
        <f>SUM(J24+N23)</f>
        <v/>
      </c>
      <c r="O24" s="2">
        <f>ROUND(SUM(O23+F24),1)</f>
        <v/>
      </c>
    </row>
    <row r="25">
      <c r="A25" s="3" t="inlineStr">
        <is>
          <t>3.2</t>
        </is>
      </c>
      <c r="B25" s="3" t="inlineStr">
        <is>
          <t>3.3</t>
        </is>
      </c>
      <c r="C25" s="1" t="n">
        <v>1.9</v>
      </c>
      <c r="D25" s="4" t="n">
        <v>268</v>
      </c>
      <c r="E25" s="4" t="n">
        <v>5</v>
      </c>
      <c r="F25" s="1">
        <f>C25*COS(RADIANS(E25))</f>
        <v/>
      </c>
      <c r="G25" s="1">
        <f>C25*COS(RADIANS(E25)) *SIN(RADIANS(D25))</f>
        <v/>
      </c>
      <c r="H25" s="1">
        <f>C25*COS(RADIANS(E25))*COS(RADIANS(D25))</f>
        <v/>
      </c>
      <c r="I25" s="1">
        <f>C25*SIN(RADIANS(E25))</f>
        <v/>
      </c>
      <c r="J25" s="1">
        <f>C25*COS(RADIANS(E25))*COS(RADIANS(D25-180))</f>
        <v/>
      </c>
      <c r="K25" s="1">
        <f>SUM(K24+G25)</f>
        <v/>
      </c>
      <c r="L25" s="1">
        <f>SUM(L24+H25)</f>
        <v/>
      </c>
      <c r="M25" s="1">
        <f>SUM(M24+I25)</f>
        <v/>
      </c>
      <c r="N25" s="1">
        <f>SUM(J25+N24)</f>
        <v/>
      </c>
      <c r="O25" s="2">
        <f>ROUND(SUM(O24+F25),1)</f>
        <v/>
      </c>
    </row>
    <row r="26">
      <c r="A26" s="3" t="inlineStr">
        <is>
          <t>3.3</t>
        </is>
      </c>
      <c r="B26" s="3" t="inlineStr">
        <is>
          <t>3.1.1</t>
        </is>
      </c>
      <c r="C26" s="1" t="n">
        <v>2.5</v>
      </c>
      <c r="D26" s="4" t="n">
        <v>188</v>
      </c>
      <c r="E26" s="4" t="n">
        <v>-40</v>
      </c>
      <c r="F26" s="1">
        <f>C26*COS(RADIANS(E26))</f>
        <v/>
      </c>
      <c r="G26" s="1">
        <f>C26*COS(RADIANS(E26)) *SIN(RADIANS(D26))</f>
        <v/>
      </c>
      <c r="H26" s="1">
        <f>C26*COS(RADIANS(E26))*COS(RADIANS(D26))</f>
        <v/>
      </c>
      <c r="I26" s="1">
        <f>C26*SIN(RADIANS(E26))</f>
        <v/>
      </c>
      <c r="J26" s="1">
        <f>C26*COS(RADIANS(E26))*COS(RADIANS(D26-180))</f>
        <v/>
      </c>
      <c r="K26" s="1">
        <f>SUM(K25+G26)</f>
        <v/>
      </c>
      <c r="L26" s="1">
        <f>SUM(L25+H26)</f>
        <v/>
      </c>
      <c r="M26" s="1">
        <f>SUM(M25+I26)</f>
        <v/>
      </c>
      <c r="N26" s="1">
        <f>SUM(J26+N25)</f>
        <v/>
      </c>
      <c r="O26" s="2">
        <f>ROUND(SUM(O25+F26),1)</f>
        <v/>
      </c>
    </row>
    <row r="27">
      <c r="A27" s="3" t="n"/>
      <c r="B27" s="3" t="n"/>
      <c r="C27" s="1" t="n"/>
      <c r="D27" s="4" t="n"/>
      <c r="E27" s="4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inlineStr">
        <is>
          <t>3.3</t>
        </is>
      </c>
      <c r="C28" s="1" t="n">
        <v>0</v>
      </c>
      <c r="D28" s="4" t="n">
        <v>0</v>
      </c>
      <c r="E28" s="4" t="n">
        <v>0</v>
      </c>
      <c r="F28" s="1">
        <f>C28*COS(RADIANS(E28))</f>
        <v/>
      </c>
      <c r="G28" s="1">
        <f>C28*COS(RADIANS(E28)) *SIN(RADIANS(D28))</f>
        <v/>
      </c>
      <c r="H28" s="1">
        <f>C28*COS(RADIANS(E28))*COS(RADIANS(D28))</f>
        <v/>
      </c>
      <c r="I28" s="1">
        <f>C28*SIN(RADIANS(E28))</f>
        <v/>
      </c>
      <c r="J28" s="1">
        <f>C28*COS(RADIANS(E28))*COS(RADIANS(D28-180))</f>
        <v/>
      </c>
      <c r="K28" s="1" t="n">
        <v>-28.11</v>
      </c>
      <c r="L28" s="1" t="n">
        <v>17.23</v>
      </c>
      <c r="M28" s="1" t="n">
        <v>-5.83</v>
      </c>
      <c r="N28" s="1">
        <f>SUM(J28+N27)</f>
        <v/>
      </c>
      <c r="O28" s="2">
        <f>ROUND(SUM(O27+F28),1)</f>
        <v/>
      </c>
    </row>
    <row r="29">
      <c r="A29" s="3" t="inlineStr">
        <is>
          <t>3.3</t>
        </is>
      </c>
      <c r="B29" s="3" t="inlineStr">
        <is>
          <t>3.4</t>
        </is>
      </c>
      <c r="C29" s="1" t="n">
        <v>2.25</v>
      </c>
      <c r="D29" s="4" t="n">
        <v>8</v>
      </c>
      <c r="E29" s="4" t="n">
        <v>11</v>
      </c>
      <c r="F29" s="1">
        <f>C29*COS(RADIANS(E29))</f>
        <v/>
      </c>
      <c r="G29" s="1">
        <f>C29*COS(RADIANS(E29)) *SIN(RADIANS(D29))</f>
        <v/>
      </c>
      <c r="H29" s="1">
        <f>C29*COS(RADIANS(E29))*COS(RADIANS(D29))</f>
        <v/>
      </c>
      <c r="I29" s="1">
        <f>C29*SIN(RADIANS(E29))</f>
        <v/>
      </c>
      <c r="J29" s="1">
        <f>C29*COS(RADIANS(E29))*COS(RADIANS(D29-180))</f>
        <v/>
      </c>
      <c r="K29" s="1">
        <f>SUM(K28+G29)</f>
        <v/>
      </c>
      <c r="L29" s="1">
        <f>SUM(L28+H29)</f>
        <v/>
      </c>
      <c r="M29" s="1">
        <f>SUM(M28+I29)</f>
        <v/>
      </c>
      <c r="N29" s="1">
        <f>SUM(J29+N28)</f>
        <v/>
      </c>
      <c r="O29" s="2">
        <f>ROUND(SUM(O28+F29),1)</f>
        <v/>
      </c>
    </row>
    <row r="30">
      <c r="A30" s="3" t="inlineStr">
        <is>
          <t>3.4</t>
        </is>
      </c>
      <c r="B30" s="3" t="inlineStr">
        <is>
          <t>3.5</t>
        </is>
      </c>
      <c r="C30" s="1" t="n">
        <v>2.4</v>
      </c>
      <c r="D30" s="4" t="n">
        <v>3</v>
      </c>
      <c r="E30" s="4" t="n">
        <v>-38</v>
      </c>
      <c r="F30" s="1">
        <f>C30*COS(RADIANS(E30))</f>
        <v/>
      </c>
      <c r="G30" s="1">
        <f>C30*COS(RADIANS(E30)) *SIN(RADIANS(D30))</f>
        <v/>
      </c>
      <c r="H30" s="1">
        <f>C30*COS(RADIANS(E30))*COS(RADIANS(D30))</f>
        <v/>
      </c>
      <c r="I30" s="1">
        <f>C30*SIN(RADIANS(E30))</f>
        <v/>
      </c>
      <c r="J30" s="1">
        <f>C30*COS(RADIANS(E30))*COS(RADIANS(D30-180))</f>
        <v/>
      </c>
      <c r="K30" s="1">
        <f>SUM(K29+G30)</f>
        <v/>
      </c>
      <c r="L30" s="1">
        <f>SUM(L29+H30)</f>
        <v/>
      </c>
      <c r="M30" s="1">
        <f>SUM(M29+I30)</f>
        <v/>
      </c>
      <c r="N30" s="1">
        <f>SUM(J30+N29)</f>
        <v/>
      </c>
      <c r="O30" s="2">
        <f>ROUND(SUM(O29+F30),1)</f>
        <v/>
      </c>
    </row>
    <row r="31">
      <c r="A31" s="3" t="inlineStr">
        <is>
          <t>3.5</t>
        </is>
      </c>
      <c r="B31" s="3" t="inlineStr">
        <is>
          <t>3.5.1</t>
        </is>
      </c>
      <c r="C31" s="1" t="n">
        <v>2.8</v>
      </c>
      <c r="D31" s="4" t="n">
        <v>198</v>
      </c>
      <c r="E31" s="4" t="n">
        <v>-34</v>
      </c>
      <c r="F31" s="1">
        <f>C31*COS(RADIANS(E31))</f>
        <v/>
      </c>
      <c r="G31" s="1">
        <f>C31*COS(RADIANS(E31)) *SIN(RADIANS(D31))</f>
        <v/>
      </c>
      <c r="H31" s="1">
        <f>C31*COS(RADIANS(E31))*COS(RADIANS(D31))</f>
        <v/>
      </c>
      <c r="I31" s="1">
        <f>C31*SIN(RADIANS(E31))</f>
        <v/>
      </c>
      <c r="J31" s="1">
        <f>C31*COS(RADIANS(E31))*COS(RADIANS(D31-180))</f>
        <v/>
      </c>
      <c r="K31" s="1">
        <f>SUM(K30+G31)</f>
        <v/>
      </c>
      <c r="L31" s="1">
        <f>SUM(L30+H31)</f>
        <v/>
      </c>
      <c r="M31" s="1">
        <f>SUM(M30+I31)</f>
        <v/>
      </c>
      <c r="N31" s="1">
        <f>SUM(J31+N30)</f>
        <v/>
      </c>
      <c r="O31" s="2">
        <f>ROUND(SUM(O30+F31),1)</f>
        <v/>
      </c>
    </row>
    <row r="32">
      <c r="A32" s="3" t="inlineStr">
        <is>
          <t>3.5.1</t>
        </is>
      </c>
      <c r="B32" s="3" t="inlineStr">
        <is>
          <t>3.5.2</t>
        </is>
      </c>
      <c r="C32" s="1" t="n">
        <v>1.95</v>
      </c>
      <c r="D32" s="4" t="n">
        <v>294</v>
      </c>
      <c r="E32" s="4" t="n">
        <v>-22</v>
      </c>
      <c r="F32" s="1">
        <f>C32*COS(RADIANS(E32))</f>
        <v/>
      </c>
      <c r="G32" s="1">
        <f>C32*COS(RADIANS(E32)) *SIN(RADIANS(D32))</f>
        <v/>
      </c>
      <c r="H32" s="1">
        <f>C32*COS(RADIANS(E32))*COS(RADIANS(D32))</f>
        <v/>
      </c>
      <c r="I32" s="1">
        <f>C32*SIN(RADIANS(E32))</f>
        <v/>
      </c>
      <c r="J32" s="1">
        <f>C32*COS(RADIANS(E32))*COS(RADIANS(D32-180))</f>
        <v/>
      </c>
      <c r="K32" s="1">
        <f>SUM(K31+G32)</f>
        <v/>
      </c>
      <c r="L32" s="1">
        <f>SUM(L31+H32)</f>
        <v/>
      </c>
      <c r="M32" s="1">
        <f>SUM(M31+I32)</f>
        <v/>
      </c>
      <c r="N32" s="1">
        <f>SUM(J32+N31)</f>
        <v/>
      </c>
      <c r="O32" s="2">
        <f>ROUND(SUM(O31+F32),1)</f>
        <v/>
      </c>
    </row>
    <row r="33">
      <c r="A33" s="3" t="inlineStr">
        <is>
          <t>3.5.2</t>
        </is>
      </c>
      <c r="B33" s="3" t="inlineStr">
        <is>
          <t>3.5.3</t>
        </is>
      </c>
      <c r="C33" s="1" t="n">
        <v>1.65</v>
      </c>
      <c r="D33" s="4" t="n">
        <v>225</v>
      </c>
      <c r="E33" s="4" t="n">
        <v>10</v>
      </c>
      <c r="F33" s="1">
        <f>C33*COS(RADIANS(E33))</f>
        <v/>
      </c>
      <c r="G33" s="1">
        <f>C33*COS(RADIANS(E33)) *SIN(RADIANS(D33))</f>
        <v/>
      </c>
      <c r="H33" s="1">
        <f>C33*COS(RADIANS(E33))*COS(RADIANS(D33))</f>
        <v/>
      </c>
      <c r="I33" s="1">
        <f>C33*SIN(RADIANS(E33))</f>
        <v/>
      </c>
      <c r="J33" s="1">
        <f>C33*COS(RADIANS(E33))*COS(RADIANS(D33-180))</f>
        <v/>
      </c>
      <c r="K33" s="1">
        <f>SUM(K32+G33)</f>
        <v/>
      </c>
      <c r="L33" s="1">
        <f>SUM(L32+H33)</f>
        <v/>
      </c>
      <c r="M33" s="1">
        <f>SUM(M32+I33)</f>
        <v/>
      </c>
      <c r="N33" s="1">
        <f>SUM(J33+N32)</f>
        <v/>
      </c>
      <c r="O33" s="2">
        <f>ROUND(SUM(O32+F33),1)</f>
        <v/>
      </c>
    </row>
    <row r="34">
      <c r="A34" s="3" t="n"/>
      <c r="B34" s="3" t="n"/>
      <c r="C34" s="1" t="n"/>
      <c r="D34" s="4" t="n"/>
      <c r="E34" s="4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inlineStr">
        <is>
          <t>3.5</t>
        </is>
      </c>
      <c r="C35" s="1" t="n">
        <v>0</v>
      </c>
      <c r="D35" s="4" t="n">
        <v>0</v>
      </c>
      <c r="E35" s="4" t="n">
        <v>0</v>
      </c>
      <c r="F35" s="1">
        <f>C35*COS(RADIANS(E35))</f>
        <v/>
      </c>
      <c r="G35" s="1">
        <f>C35*COS(RADIANS(E35)) *SIN(RADIANS(D35))</f>
        <v/>
      </c>
      <c r="H35" s="1">
        <f>C35*COS(RADIANS(E35))*COS(RADIANS(D35))</f>
        <v/>
      </c>
      <c r="I35" s="1">
        <f>C35*SIN(RADIANS(E35))</f>
        <v/>
      </c>
      <c r="J35" s="1">
        <f>C35*COS(RADIANS(E35))*COS(RADIANS(D35-180))</f>
        <v/>
      </c>
      <c r="K35" s="1" t="n">
        <v>-27.7</v>
      </c>
      <c r="L35" s="1" t="n">
        <v>21.31</v>
      </c>
      <c r="M35" s="1" t="n">
        <v>-6.88</v>
      </c>
      <c r="N35" s="1">
        <f>SUM(J35+N34)</f>
        <v/>
      </c>
      <c r="O35" s="2">
        <f>ROUND(SUM(O34+F35),1)</f>
        <v/>
      </c>
    </row>
    <row r="36">
      <c r="A36" s="3" t="inlineStr">
        <is>
          <t>3.5</t>
        </is>
      </c>
      <c r="B36" s="3" t="inlineStr">
        <is>
          <t>3.6</t>
        </is>
      </c>
      <c r="C36" s="1" t="n">
        <v>2.3</v>
      </c>
      <c r="D36" s="4" t="n">
        <v>2</v>
      </c>
      <c r="E36" s="4" t="n">
        <v>29</v>
      </c>
      <c r="F36" s="1">
        <f>C36*COS(RADIANS(E36))</f>
        <v/>
      </c>
      <c r="G36" s="1">
        <f>C36*COS(RADIANS(E36)) *SIN(RADIANS(D36))</f>
        <v/>
      </c>
      <c r="H36" s="1">
        <f>C36*COS(RADIANS(E36))*COS(RADIANS(D36))</f>
        <v/>
      </c>
      <c r="I36" s="1">
        <f>C36*SIN(RADIANS(E36))</f>
        <v/>
      </c>
      <c r="J36" s="1">
        <f>C36*COS(RADIANS(E36))*COS(RADIANS(D36-180))</f>
        <v/>
      </c>
      <c r="K36" s="1">
        <f>SUM(K35+G36)</f>
        <v/>
      </c>
      <c r="L36" s="1">
        <f>SUM(L35+H36)</f>
        <v/>
      </c>
      <c r="M36" s="1">
        <f>SUM(M35+I36)</f>
        <v/>
      </c>
      <c r="N36" s="1">
        <f>SUM(J36+N35)</f>
        <v/>
      </c>
      <c r="O36" s="2">
        <f>ROUND(SUM(O35+F36),1)</f>
        <v/>
      </c>
    </row>
    <row r="37">
      <c r="A37" s="3" t="inlineStr">
        <is>
          <t>3.6</t>
        </is>
      </c>
      <c r="B37" s="3" t="inlineStr">
        <is>
          <t>3.7</t>
        </is>
      </c>
      <c r="C37" s="1" t="n">
        <v>2.25</v>
      </c>
      <c r="D37" s="4" t="n">
        <v>8</v>
      </c>
      <c r="E37" s="4" t="n">
        <v>0</v>
      </c>
      <c r="F37" s="1">
        <f>C37*COS(RADIANS(E37))</f>
        <v/>
      </c>
      <c r="G37" s="1">
        <f>C37*COS(RADIANS(E37)) *SIN(RADIANS(D37))</f>
        <v/>
      </c>
      <c r="H37" s="1">
        <f>C37*COS(RADIANS(E37))*COS(RADIANS(D37))</f>
        <v/>
      </c>
      <c r="I37" s="1">
        <f>C37*SIN(RADIANS(E37))</f>
        <v/>
      </c>
      <c r="J37" s="1">
        <f>C37*COS(RADIANS(E37))*COS(RADIANS(D37-180))</f>
        <v/>
      </c>
      <c r="K37" s="1">
        <f>SUM(K36+G37)</f>
        <v/>
      </c>
      <c r="L37" s="1">
        <f>SUM(L36+H37)</f>
        <v/>
      </c>
      <c r="M37" s="1">
        <f>SUM(M36+I37)</f>
        <v/>
      </c>
      <c r="N37" s="1">
        <f>SUM(J37+N36)</f>
        <v/>
      </c>
      <c r="O37" s="2">
        <f>ROUND(SUM(O36+F37),1)</f>
        <v/>
      </c>
    </row>
    <row r="38">
      <c r="A38" s="3" t="inlineStr">
        <is>
          <t>3.7</t>
        </is>
      </c>
      <c r="B38" s="3" t="inlineStr">
        <is>
          <t>3.8</t>
        </is>
      </c>
      <c r="C38" s="1" t="n">
        <v>3.1</v>
      </c>
      <c r="D38" s="4" t="n">
        <v>10</v>
      </c>
      <c r="E38" s="4" t="n">
        <v>-21</v>
      </c>
      <c r="F38" s="1">
        <f>C38*COS(RADIANS(E38))</f>
        <v/>
      </c>
      <c r="G38" s="1">
        <f>C38*COS(RADIANS(E38)) *SIN(RADIANS(D38))</f>
        <v/>
      </c>
      <c r="H38" s="1">
        <f>C38*COS(RADIANS(E38))*COS(RADIANS(D38))</f>
        <v/>
      </c>
      <c r="I38" s="1">
        <f>C38*SIN(RADIANS(E38))</f>
        <v/>
      </c>
      <c r="J38" s="1">
        <f>C38*COS(RADIANS(E38))*COS(RADIANS(D38-180))</f>
        <v/>
      </c>
      <c r="K38" s="1">
        <f>SUM(K37+G38)</f>
        <v/>
      </c>
      <c r="L38" s="1">
        <f>SUM(L37+H38)</f>
        <v/>
      </c>
      <c r="M38" s="1">
        <f>SUM(M37+I38)</f>
        <v/>
      </c>
      <c r="N38" s="1">
        <f>SUM(J38+N37)</f>
        <v/>
      </c>
      <c r="O38" s="2">
        <f>ROUND(SUM(O37+F38),1)</f>
        <v/>
      </c>
    </row>
    <row r="39">
      <c r="A39" s="3" t="inlineStr">
        <is>
          <t>3.8</t>
        </is>
      </c>
      <c r="B39" s="3" t="inlineStr">
        <is>
          <t>3.9</t>
        </is>
      </c>
      <c r="C39" s="1" t="n">
        <v>3.5</v>
      </c>
      <c r="D39" s="4" t="n">
        <v>356</v>
      </c>
      <c r="E39" s="4" t="n">
        <v>22</v>
      </c>
      <c r="F39" s="1">
        <f>C39*COS(RADIANS(E39))</f>
        <v/>
      </c>
      <c r="G39" s="1">
        <f>C39*COS(RADIANS(E39)) *SIN(RADIANS(D39))</f>
        <v/>
      </c>
      <c r="H39" s="1">
        <f>C39*COS(RADIANS(E39))*COS(RADIANS(D39))</f>
        <v/>
      </c>
      <c r="I39" s="1">
        <f>C39*SIN(RADIANS(E39))</f>
        <v/>
      </c>
      <c r="J39" s="1">
        <f>C39*COS(RADIANS(E39))*COS(RADIANS(D39-180))</f>
        <v/>
      </c>
      <c r="K39" s="1">
        <f>SUM(K38+G39)</f>
        <v/>
      </c>
      <c r="L39" s="1">
        <f>SUM(L38+H39)</f>
        <v/>
      </c>
      <c r="M39" s="1">
        <f>SUM(M38+I39)</f>
        <v/>
      </c>
      <c r="N39" s="1">
        <f>SUM(J39+N38)</f>
        <v/>
      </c>
      <c r="O39" s="2">
        <f>ROUND(SUM(O38+F39),1)</f>
        <v/>
      </c>
    </row>
    <row r="40">
      <c r="A40" s="3" t="n"/>
      <c r="B40" s="3" t="n"/>
      <c r="C40" s="1" t="n">
        <v>0</v>
      </c>
      <c r="D40" s="4" t="n">
        <v>0</v>
      </c>
      <c r="E40" s="4" t="n">
        <v>0</v>
      </c>
      <c r="F40" s="1">
        <f>C40*COS(RADIANS(E40))</f>
        <v/>
      </c>
      <c r="G40" s="1">
        <f>C40*COS(RADIANS(E40)) *SIN(RADIANS(D40))</f>
        <v/>
      </c>
      <c r="H40" s="1">
        <f>C40*COS(RADIANS(E40))*COS(RADIANS(D40))</f>
        <v/>
      </c>
      <c r="I40" s="1">
        <f>C40*SIN(RADIANS(E40))</f>
        <v/>
      </c>
      <c r="J40" s="1">
        <f>C40*COS(RADIANS(E40))*COS(RADIANS(D40-180))</f>
        <v/>
      </c>
      <c r="K40" s="1">
        <f>SUM(K39+G40)</f>
        <v/>
      </c>
      <c r="L40" s="1">
        <f>SUM(L39+H40)</f>
        <v/>
      </c>
      <c r="M40" s="1">
        <f>SUM(M39+I40)</f>
        <v/>
      </c>
      <c r="N40" s="1">
        <f>SUM(J40+N39)</f>
        <v/>
      </c>
      <c r="O40" s="2">
        <f>ROUND(SUM(O39+F40),1)</f>
        <v/>
      </c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