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ustrzany Korytar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</t>
        </is>
      </c>
      <c r="B1" t="inlineStr">
        <is>
          <t>Cel</t>
        </is>
      </c>
      <c r="C1" s="1" t="inlineStr">
        <is>
          <t>L</t>
        </is>
      </c>
      <c r="D1" s="1" t="inlineStr">
        <is>
          <t>A</t>
        </is>
      </c>
      <c r="E1" s="1" t="inlineStr">
        <is>
          <t>U</t>
        </is>
      </c>
      <c r="F1" s="1" t="inlineStr">
        <is>
          <t>D</t>
        </is>
      </c>
      <c r="G1" s="1" t="inlineStr">
        <is>
          <t>dy</t>
        </is>
      </c>
      <c r="H1" s="1" t="inlineStr">
        <is>
          <t>dx</t>
        </is>
      </c>
      <c r="I1" s="1" t="inlineStr">
        <is>
          <t>dh</t>
        </is>
      </c>
      <c r="J1" s="1" t="inlineStr">
        <is>
          <t>dv (180)</t>
        </is>
      </c>
      <c r="K1" s="1" t="inlineStr">
        <is>
          <t>Y</t>
        </is>
      </c>
      <c r="L1" s="1" t="inlineStr">
        <is>
          <t>X</t>
        </is>
      </c>
      <c r="M1" s="1" t="inlineStr">
        <is>
          <t>H</t>
        </is>
      </c>
      <c r="N1" s="1" t="inlineStr">
        <is>
          <t>V</t>
        </is>
      </c>
      <c r="O1" s="1" t="inlineStr">
        <is>
          <t>Suma D</t>
        </is>
      </c>
      <c r="P1" s="1" t="inlineStr">
        <is>
          <t>Długość</t>
        </is>
      </c>
      <c r="Q1" s="1" t="inlineStr">
        <is>
          <t>Głęb.</t>
        </is>
      </c>
      <c r="R1" s="1" t="inlineStr">
        <is>
          <t>Przewyż.</t>
        </is>
      </c>
      <c r="S1" s="1" t="inlineStr">
        <is>
          <t>Deniwel.</t>
        </is>
      </c>
      <c r="T1" s="1" t="inlineStr">
        <is>
          <t>Roz. Y</t>
        </is>
      </c>
      <c r="U1" s="1" t="inlineStr">
        <is>
          <t>Roz. X</t>
        </is>
      </c>
    </row>
    <row r="2">
      <c r="C2" s="2" t="n"/>
      <c r="K2" t="n">
        <v>0</v>
      </c>
      <c r="L2" t="n">
        <v>0</v>
      </c>
      <c r="M2" t="n">
        <v>0</v>
      </c>
      <c r="N2" t="n">
        <v>0</v>
      </c>
      <c r="P2" s="2">
        <f>SUM(C3:C9999)</f>
        <v/>
      </c>
      <c r="Q2" s="2">
        <f>ROUND(MIN(M2:M9999),1)</f>
        <v/>
      </c>
      <c r="R2" s="2">
        <f>ROUND(MAX(M2:M9999),1)</f>
        <v/>
      </c>
      <c r="S2" s="2">
        <f>ABS((R2)-(Q2))</f>
        <v/>
      </c>
      <c r="T2">
        <f>ROUND(ABS(MAX(K2:K9999)-MIN(K2:K9999)),1)</f>
        <v/>
      </c>
      <c r="U2">
        <f>ROUND(ABS(MAX(L2:L9999)-MIN(L2:L9999)),1)</f>
        <v/>
      </c>
    </row>
    <row r="3">
      <c r="A3" s="3" t="inlineStr">
        <is>
          <t>0</t>
        </is>
      </c>
      <c r="B3" s="3" t="inlineStr">
        <is>
          <t>1</t>
        </is>
      </c>
      <c r="C3" s="2" t="n">
        <v>3.8</v>
      </c>
      <c r="D3" s="4" t="n">
        <v>20</v>
      </c>
      <c r="E3" s="4" t="n">
        <v>48</v>
      </c>
      <c r="F3" s="1">
        <f>C3*COS(RADIANS(E3))</f>
        <v/>
      </c>
      <c r="G3" s="1">
        <f>C3*COS(RADIANS(E3)) *SIN(RADIANS(D3))</f>
        <v/>
      </c>
      <c r="H3" s="1">
        <f>C3*COS(RADIANS(E3))*COS(RADIANS(D3))</f>
        <v/>
      </c>
      <c r="I3" s="1">
        <f>C3*SIN(RADIANS(E3))</f>
        <v/>
      </c>
      <c r="J3" s="1">
        <f>C3*COS(RADIANS(E3))*COS(RADIANS(D3-180))</f>
        <v/>
      </c>
      <c r="K3" s="1">
        <f>SUM(K2+G3)</f>
        <v/>
      </c>
      <c r="L3" s="1">
        <f>SUM(L2+H3)</f>
        <v/>
      </c>
      <c r="M3" s="1">
        <f>SUM(M2+I3)</f>
        <v/>
      </c>
      <c r="N3" s="1">
        <f>SUM(J3+N2)</f>
        <v/>
      </c>
      <c r="O3" s="2">
        <f>ROUND(SUM(O2+F3),1)</f>
        <v/>
      </c>
    </row>
    <row r="4">
      <c r="A4" s="3" t="inlineStr">
        <is>
          <t>1</t>
        </is>
      </c>
      <c r="B4" s="3" t="inlineStr">
        <is>
          <t>2</t>
        </is>
      </c>
      <c r="C4" s="2" t="n">
        <v>11.2</v>
      </c>
      <c r="D4" s="4" t="n">
        <v>125</v>
      </c>
      <c r="E4" s="4" t="n">
        <v>45</v>
      </c>
      <c r="F4" s="1">
        <f>C4*COS(RADIANS(E4))</f>
        <v/>
      </c>
      <c r="G4" s="1">
        <f>C4*COS(RADIANS(E4)) *SIN(RADIANS(D4))</f>
        <v/>
      </c>
      <c r="H4" s="1">
        <f>C4*COS(RADIANS(E4))*COS(RADIANS(D4))</f>
        <v/>
      </c>
      <c r="I4" s="1">
        <f>C4*SIN(RADIANS(E4))</f>
        <v/>
      </c>
      <c r="J4" s="1">
        <f>C4*COS(RADIANS(E4))*COS(RADIANS(D4-180))</f>
        <v/>
      </c>
      <c r="K4" s="1">
        <f>SUM(K3+G4)</f>
        <v/>
      </c>
      <c r="L4" s="1">
        <f>SUM(L3+H4)</f>
        <v/>
      </c>
      <c r="M4" s="1">
        <f>SUM(M3+I4)</f>
        <v/>
      </c>
      <c r="N4" s="1">
        <f>SUM(J4+N3)</f>
        <v/>
      </c>
      <c r="O4" s="2">
        <f>ROUND(SUM(O3+F4),1)</f>
        <v/>
      </c>
      <c r="Q4" s="4" t="n"/>
    </row>
    <row r="5">
      <c r="B5" s="4" t="n"/>
    </row>
    <row r="6">
      <c r="A6" t="inlineStr">
        <is>
          <t>Nazwa: Lustrzany Korytarz</t>
        </is>
      </c>
      <c r="B6" s="4" t="n"/>
    </row>
    <row r="7">
      <c r="B7" s="4" t="n"/>
    </row>
    <row r="8">
      <c r="A8" t="inlineStr">
        <is>
          <t>Pomiary: J. Nowak, J. Matras,  26. 08. 2006 r.</t>
        </is>
      </c>
      <c r="B8" s="4" t="n"/>
    </row>
    <row r="9">
      <c r="A9" t="inlineStr">
        <is>
          <t>Wysokość: ok. 1530 m npm</t>
        </is>
      </c>
      <c r="B9" s="4" t="n"/>
    </row>
    <row r="10">
      <c r="A10" t="inlineStr">
        <is>
          <t>Wysokość nad dnem wąwozu: ok. 360 m</t>
        </is>
      </c>
      <c r="B10" s="4" t="n"/>
    </row>
    <row r="11">
      <c r="B11" s="4" t="n"/>
    </row>
    <row r="12">
      <c r="B12" s="4" t="n"/>
    </row>
    <row r="13">
      <c r="B13" s="1" t="n"/>
    </row>
    <row r="14">
      <c r="B14" s="1" t="n"/>
    </row>
    <row r="15">
      <c r="B15" s="1" t="n"/>
    </row>
    <row r="16">
      <c r="B16" s="1" t="n"/>
    </row>
    <row r="17">
      <c r="B17" s="1" t="n"/>
    </row>
    <row r="18">
      <c r="B18" s="1" t="n"/>
    </row>
    <row r="19">
      <c r="B19" s="1" t="n"/>
    </row>
    <row r="20">
      <c r="B20" s="1" t="n"/>
    </row>
    <row r="21">
      <c r="B21" s="1" t="n"/>
    </row>
    <row r="22">
      <c r="A22" s="1" t="n"/>
      <c r="B22" s="1" t="n"/>
    </row>
    <row r="23">
      <c r="A23" s="1" t="n"/>
      <c r="B23" s="1" t="n"/>
    </row>
    <row r="24">
      <c r="A24" s="3" t="n"/>
      <c r="B24" s="3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2" t="n"/>
    </row>
    <row r="25">
      <c r="A25" s="3" t="n"/>
      <c r="B25" s="3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2" t="n"/>
    </row>
    <row r="26">
      <c r="A26" s="3" t="n"/>
      <c r="B26" s="3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2" t="n"/>
    </row>
    <row r="27">
      <c r="A27" s="3" t="n"/>
      <c r="B27" s="3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2" t="n"/>
    </row>
    <row r="28">
      <c r="A28" s="3" t="n"/>
      <c r="B28" s="3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2" t="n"/>
    </row>
    <row r="29">
      <c r="A29" s="3" t="n"/>
      <c r="B29" s="3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2" t="n"/>
    </row>
    <row r="30">
      <c r="A30" s="3" t="n"/>
      <c r="B30" s="3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2" t="n"/>
    </row>
    <row r="31">
      <c r="A31" s="3" t="n"/>
      <c r="B31" s="3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2" t="n"/>
    </row>
    <row r="32">
      <c r="A32" s="3" t="n"/>
      <c r="B32" s="3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2" t="n"/>
    </row>
    <row r="33">
      <c r="A33" s="3" t="n"/>
      <c r="B33" s="3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2" t="n"/>
    </row>
    <row r="34">
      <c r="A34" s="3" t="n"/>
      <c r="B34" s="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2" t="n"/>
    </row>
    <row r="35">
      <c r="A35" s="3" t="n"/>
      <c r="B35" s="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2" t="n"/>
    </row>
    <row r="36">
      <c r="A36" s="3" t="n"/>
      <c r="B36" s="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2" t="n"/>
    </row>
    <row r="37">
      <c r="A37" s="3" t="n"/>
      <c r="B37" s="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2" t="n"/>
    </row>
    <row r="38">
      <c r="A38" s="3" t="n"/>
      <c r="B38" s="3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2" t="n"/>
    </row>
    <row r="39">
      <c r="A39" s="3" t="n"/>
      <c r="B39" s="3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2" t="n"/>
    </row>
    <row r="40">
      <c r="A40" s="3" t="n"/>
      <c r="B40" s="3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2" t="n"/>
    </row>
    <row r="41">
      <c r="A41" s="3" t="n"/>
      <c r="B41" s="3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2" t="n"/>
    </row>
    <row r="42">
      <c r="A42" s="3" t="n"/>
      <c r="B42" s="3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2" t="n"/>
    </row>
    <row r="43">
      <c r="A43" s="3" t="n"/>
      <c r="B43" s="3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2" t="n"/>
    </row>
    <row r="44">
      <c r="A44" s="3" t="n"/>
      <c r="B44" s="3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2" t="n"/>
    </row>
    <row r="45">
      <c r="A45" s="3" t="n"/>
      <c r="B45" s="3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2" t="n"/>
    </row>
    <row r="46">
      <c r="A46" s="3" t="n"/>
      <c r="B46" s="3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2" t="n"/>
    </row>
    <row r="47">
      <c r="A47" s="3" t="n"/>
      <c r="B47" s="3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2" t="n"/>
    </row>
    <row r="48">
      <c r="A48" s="3" t="n"/>
      <c r="B48" s="3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</row>
    <row r="49">
      <c r="A49" s="3" t="n"/>
      <c r="B49" s="3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</row>
    <row r="50">
      <c r="A50" s="3" t="n"/>
      <c r="B50" s="3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2" t="n"/>
    </row>
    <row r="51">
      <c r="A51" s="3" t="n"/>
      <c r="B51" s="3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2" t="n"/>
    </row>
    <row r="52">
      <c r="A52" s="3" t="n"/>
      <c r="B52" s="3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2" t="n"/>
    </row>
    <row r="53">
      <c r="A53" s="3" t="n"/>
      <c r="B53" s="3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2" t="n"/>
    </row>
    <row r="54">
      <c r="A54" s="3" t="n"/>
      <c r="B54" s="3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2" t="n"/>
    </row>
    <row r="55">
      <c r="A55" s="3" t="n"/>
      <c r="B55" s="3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2" t="n"/>
    </row>
    <row r="56">
      <c r="A56" s="3" t="n"/>
      <c r="B56" s="3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2" t="n"/>
    </row>
    <row r="57">
      <c r="A57" s="3" t="n"/>
      <c r="B57" s="3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2" t="n"/>
    </row>
    <row r="58">
      <c r="A58" s="3" t="n"/>
      <c r="B58" s="3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2" t="n"/>
    </row>
    <row r="59">
      <c r="A59" s="3" t="n"/>
      <c r="B59" s="3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2" t="n"/>
    </row>
    <row r="60">
      <c r="A60" s="3" t="n"/>
      <c r="B60" s="3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2" t="n"/>
    </row>
    <row r="61">
      <c r="A61" s="3" t="n"/>
      <c r="B61" s="3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2" t="n"/>
    </row>
    <row r="62">
      <c r="A62" s="3" t="n"/>
      <c r="B62" s="3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2" t="n"/>
    </row>
    <row r="63">
      <c r="A63" s="3" t="n"/>
      <c r="B63" s="3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2" t="n"/>
    </row>
    <row r="64">
      <c r="A64" s="3" t="n"/>
      <c r="B64" s="3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2" t="n"/>
    </row>
    <row r="65">
      <c r="A65" s="3" t="n"/>
      <c r="B65" s="3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2" t="n"/>
    </row>
    <row r="66">
      <c r="A66" s="3" t="n"/>
      <c r="B66" s="3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2" t="n"/>
    </row>
    <row r="67">
      <c r="A67" s="3" t="n"/>
      <c r="B67" s="3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2" t="n"/>
    </row>
    <row r="68">
      <c r="A68" s="3" t="n"/>
      <c r="B68" s="3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2" t="n"/>
    </row>
    <row r="69">
      <c r="A69" s="3" t="n"/>
      <c r="B69" s="3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2" t="n"/>
    </row>
    <row r="70">
      <c r="A70" s="3" t="n"/>
      <c r="B70" s="3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2" t="n"/>
    </row>
    <row r="71">
      <c r="A71" s="3" t="n"/>
      <c r="B71" s="3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2" t="n"/>
    </row>
    <row r="72">
      <c r="A72" s="3" t="n"/>
      <c r="B72" s="3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2" t="n"/>
    </row>
    <row r="73">
      <c r="A73" s="3" t="n"/>
      <c r="B73" s="3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2" t="n"/>
    </row>
    <row r="74">
      <c r="A74" s="3" t="n"/>
      <c r="B74" s="3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2" t="n"/>
    </row>
    <row r="75">
      <c r="A75" s="3" t="n"/>
      <c r="B75" s="3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2" t="n"/>
    </row>
    <row r="76">
      <c r="A76" s="3" t="n"/>
      <c r="B76" s="3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2" t="n"/>
    </row>
    <row r="77">
      <c r="A77" s="3" t="n"/>
      <c r="B77" s="3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2" t="n"/>
    </row>
    <row r="78">
      <c r="A78" s="3" t="n"/>
      <c r="B78" s="3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2" t="n"/>
    </row>
    <row r="79">
      <c r="A79" s="3" t="n"/>
      <c r="B79" s="3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2" t="n"/>
    </row>
    <row r="80">
      <c r="A80" s="3" t="n"/>
      <c r="B80" s="3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2" t="n"/>
    </row>
    <row r="81">
      <c r="A81" s="3" t="n"/>
      <c r="B81" s="3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2" t="n"/>
    </row>
    <row r="82">
      <c r="A82" s="3" t="n"/>
      <c r="B82" s="3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2" t="n"/>
    </row>
    <row r="83">
      <c r="A83" s="3" t="n"/>
      <c r="B83" s="3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2" t="n"/>
    </row>
    <row r="84">
      <c r="A84" s="3" t="n"/>
      <c r="B84" s="3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2" t="n"/>
    </row>
    <row r="85">
      <c r="A85" s="3" t="n"/>
      <c r="B85" s="3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2" t="n"/>
    </row>
    <row r="86">
      <c r="A86" s="3" t="n"/>
      <c r="B86" s="3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2" t="n"/>
    </row>
    <row r="87">
      <c r="A87" s="3" t="n"/>
      <c r="B87" s="3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2" t="n"/>
    </row>
    <row r="88">
      <c r="A88" s="3" t="n"/>
      <c r="B88" s="3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2" t="n"/>
    </row>
    <row r="89">
      <c r="A89" s="3" t="n"/>
      <c r="B89" s="3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2" t="n"/>
    </row>
    <row r="90">
      <c r="A90" s="3" t="n"/>
      <c r="B90" s="3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2" t="n"/>
    </row>
    <row r="91">
      <c r="A91" s="3" t="n"/>
      <c r="B91" s="3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2" t="n"/>
    </row>
    <row r="92">
      <c r="A92" s="3" t="n"/>
      <c r="B92" s="3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2" t="n"/>
    </row>
    <row r="93">
      <c r="A93" s="3" t="n"/>
      <c r="B93" s="3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2" t="n"/>
    </row>
    <row r="94">
      <c r="A94" s="3" t="n"/>
      <c r="B94" s="3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2" t="n"/>
    </row>
    <row r="95">
      <c r="A95" s="3" t="n"/>
      <c r="B95" s="3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2" t="n"/>
    </row>
    <row r="96">
      <c r="A96" s="3" t="n"/>
      <c r="B96" s="3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2" t="n"/>
    </row>
    <row r="97">
      <c r="A97" s="3" t="n"/>
      <c r="B97" s="3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2" t="n"/>
    </row>
    <row r="98">
      <c r="A98" s="3" t="n"/>
      <c r="B98" s="3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2" t="n"/>
    </row>
    <row r="99">
      <c r="A99" s="3" t="n"/>
      <c r="B99" s="3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2" t="n"/>
    </row>
    <row r="100">
      <c r="A100" s="3" t="n"/>
      <c r="B100" s="3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2026-03-07T14:30:59Z</dcterms:created>
  <dcterms:modified xmlns:dcterms="http://purl.org/dc/terms/" xmlns:xsi="http://www.w3.org/2001/XMLSchema-instance" xsi:type="dcterms:W3CDTF">2026-03-07T14:30:59Z</dcterms:modified>
</cp:coreProperties>
</file>