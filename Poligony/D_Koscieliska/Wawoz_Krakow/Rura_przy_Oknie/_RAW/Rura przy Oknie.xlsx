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ra przy Ok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SUM(C3:C9999)</f>
        <v/>
      </c>
      <c r="Q2" s="2">
        <f>ROUND(MIN(M2:M9999),1)</f>
        <v/>
      </c>
      <c r="R2" s="2">
        <f>ROUND(MAX(M2:M9999),1)</f>
        <v/>
      </c>
      <c r="S2" s="2">
        <f>ABS((R2)-(Q2))</f>
        <v/>
      </c>
      <c r="T2">
        <f>ROUND(ABS(MAX(K2:K9999)-MIN(K2:K9999)),1)</f>
        <v/>
      </c>
      <c r="U2">
        <f>ROUND(ABS(MAX(L2:L9999)-MIN(L2:L9999)),1)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2.34</v>
      </c>
      <c r="D3" s="4" t="n">
        <v>65</v>
      </c>
      <c r="E3" s="4" t="n">
        <v>82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1" t="n">
        <v>5.54</v>
      </c>
      <c r="D4" s="4" t="n">
        <v>62</v>
      </c>
      <c r="E4" s="4" t="n">
        <v>39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3.6</v>
      </c>
      <c r="D5" s="4" t="n">
        <v>60</v>
      </c>
      <c r="E5" s="4" t="n">
        <v>13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1.8</v>
      </c>
      <c r="D6" s="4" t="n">
        <v>40</v>
      </c>
      <c r="E6" s="4" t="n">
        <v>20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n"/>
      <c r="B7" s="3" t="n"/>
      <c r="C7" s="1" t="n"/>
      <c r="D7" s="4" t="n"/>
      <c r="E7" s="4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2" t="n"/>
      <c r="Q7" s="4" t="n"/>
    </row>
    <row r="8">
      <c r="A8" s="3" t="n"/>
      <c r="B8" s="3" t="inlineStr">
        <is>
          <t>1</t>
        </is>
      </c>
      <c r="C8" s="1" t="n"/>
      <c r="D8" s="4" t="n"/>
      <c r="E8" s="4" t="n"/>
      <c r="F8" s="1" t="n"/>
      <c r="G8" s="1" t="n"/>
      <c r="H8" s="1" t="n"/>
      <c r="I8" s="1" t="n"/>
      <c r="J8" s="1" t="n"/>
      <c r="K8" s="1" t="n">
        <v>0.2951527764419797</v>
      </c>
      <c r="L8" s="1" t="n">
        <v>0.1376319999806054</v>
      </c>
      <c r="M8" s="1" t="n">
        <v>2.317227280855275</v>
      </c>
      <c r="N8" s="1">
        <f>SUM(J8+N7)</f>
        <v/>
      </c>
      <c r="O8" s="2">
        <f>ROUND(SUM(O7+F8),1)</f>
        <v/>
      </c>
      <c r="Q8" s="4" t="n"/>
    </row>
    <row r="9">
      <c r="A9" s="3" t="inlineStr">
        <is>
          <t>1</t>
        </is>
      </c>
      <c r="B9" s="3" t="inlineStr">
        <is>
          <t>1.1</t>
        </is>
      </c>
      <c r="C9" s="1" t="n">
        <v>4.28</v>
      </c>
      <c r="D9" s="4" t="n">
        <v>0</v>
      </c>
      <c r="E9" s="4" t="n">
        <v>90</v>
      </c>
      <c r="F9" s="1">
        <f>C9*COS(RADIANS(E9))</f>
        <v/>
      </c>
      <c r="G9" s="1">
        <f>C9*COS(RADIANS(E9)) *SIN(RADIANS(D9))</f>
        <v/>
      </c>
      <c r="H9" s="1">
        <f>C9*COS(RADIANS(E9))*COS(RADIANS(D9))</f>
        <v/>
      </c>
      <c r="I9" s="1">
        <f>C9*SIN(RADIANS(E9))</f>
        <v/>
      </c>
      <c r="J9" s="1">
        <f>C9*COS(RADIANS(E9))*COS(RADIANS(D9-180))</f>
        <v/>
      </c>
      <c r="K9" s="1">
        <f>SUM(K8+G9)</f>
        <v/>
      </c>
      <c r="L9" s="1">
        <f>SUM(L8+H9)</f>
        <v/>
      </c>
      <c r="M9" s="1">
        <f>SUM(M8+I9)</f>
        <v/>
      </c>
      <c r="N9" s="1">
        <f>SUM(J9+N8)</f>
        <v/>
      </c>
      <c r="O9" s="2">
        <f>ROUND(SUM(O8+F9),1)</f>
        <v/>
      </c>
      <c r="Q9" s="4" t="n"/>
    </row>
    <row r="10">
      <c r="A10" s="3" t="inlineStr">
        <is>
          <t>1.1</t>
        </is>
      </c>
      <c r="B10" s="3" t="inlineStr">
        <is>
          <t>1.2</t>
        </is>
      </c>
      <c r="C10" s="1" t="n">
        <v>7.61</v>
      </c>
      <c r="D10" s="4" t="n">
        <v>62</v>
      </c>
      <c r="E10" s="4" t="n">
        <v>32</v>
      </c>
      <c r="F10" s="1">
        <f>C10*COS(RADIANS(E10))</f>
        <v/>
      </c>
      <c r="G10" s="1">
        <f>C10*COS(RADIANS(E10)) *SIN(RADIANS(D10))</f>
        <v/>
      </c>
      <c r="H10" s="1">
        <f>C10*COS(RADIANS(E10))*COS(RADIANS(D10))</f>
        <v/>
      </c>
      <c r="I10" s="1">
        <f>C10*SIN(RADIANS(E10))</f>
        <v/>
      </c>
      <c r="J10" s="1">
        <f>C10*COS(RADIANS(E10))*COS(RADIANS(D10-180))</f>
        <v/>
      </c>
      <c r="K10" s="1">
        <f>SUM(K9+G10)</f>
        <v/>
      </c>
      <c r="L10" s="1">
        <f>SUM(L9+H10)</f>
        <v/>
      </c>
      <c r="M10" s="1">
        <f>SUM(M9+I10)</f>
        <v/>
      </c>
      <c r="N10" s="1">
        <f>SUM(J10+N9)</f>
        <v/>
      </c>
      <c r="O10" s="2">
        <f>ROUND(SUM(O9+F10),1)</f>
        <v/>
      </c>
      <c r="Q10" s="4" t="n"/>
    </row>
    <row r="11">
      <c r="B11" s="4" t="n"/>
    </row>
    <row r="12">
      <c r="A12" t="inlineStr">
        <is>
          <t>Nazwa: Rura przy Oknie</t>
        </is>
      </c>
      <c r="B12" s="4" t="n"/>
    </row>
    <row r="13">
      <c r="B13" s="1" t="n"/>
    </row>
    <row r="14">
      <c r="A14" t="inlineStr">
        <is>
          <t>Pomiary: J. Nowak, M. Czart,  9. 09. 2006 r.</t>
        </is>
      </c>
      <c r="B14" s="1" t="n"/>
    </row>
    <row r="15">
      <c r="A15" t="inlineStr">
        <is>
          <t>Wysokość: ok. 1200 m npm</t>
        </is>
      </c>
      <c r="B15" s="1" t="n"/>
    </row>
    <row r="16">
      <c r="A16" t="inlineStr">
        <is>
          <t>Wysokość nad dnem wąwozu: ok. 65 m</t>
        </is>
      </c>
      <c r="B16" s="1" t="n"/>
    </row>
    <row r="17">
      <c r="B17" s="1" t="n"/>
    </row>
    <row r="18">
      <c r="B18" s="1" t="n"/>
    </row>
    <row r="19">
      <c r="B19" s="1" t="n"/>
    </row>
    <row r="20">
      <c r="B20" s="1" t="n"/>
    </row>
    <row r="21">
      <c r="B21" s="1" t="n"/>
    </row>
    <row r="22">
      <c r="A22" s="1" t="n"/>
      <c r="B22" s="1" t="n"/>
    </row>
    <row r="23">
      <c r="A23" s="3" t="n"/>
      <c r="B23" s="3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2" t="n"/>
    </row>
    <row r="24">
      <c r="A24" s="3" t="n"/>
      <c r="B24" s="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n"/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  <row r="91">
      <c r="A91" s="3" t="n"/>
      <c r="B91" s="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</row>
    <row r="92">
      <c r="A92" s="3" t="n"/>
      <c r="B92" s="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2" t="n"/>
    </row>
    <row r="93">
      <c r="A93" s="3" t="n"/>
      <c r="B93" s="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2" t="n"/>
    </row>
    <row r="94">
      <c r="A94" s="3" t="n"/>
      <c r="B94" s="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2" t="n"/>
    </row>
    <row r="95">
      <c r="A95" s="3" t="n"/>
      <c r="B95" s="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2" t="n"/>
    </row>
    <row r="96">
      <c r="A96" s="3" t="n"/>
      <c r="B96" s="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2" t="n"/>
    </row>
    <row r="97">
      <c r="A97" s="3" t="n"/>
      <c r="B97" s="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2" t="n"/>
    </row>
    <row r="98">
      <c r="A98" s="3" t="n"/>
      <c r="B98" s="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2" t="n"/>
    </row>
    <row r="99">
      <c r="A99" s="3" t="n"/>
      <c r="B99" s="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2" t="n"/>
    </row>
    <row r="100">
      <c r="A100" s="3" t="n"/>
      <c r="B100" s="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