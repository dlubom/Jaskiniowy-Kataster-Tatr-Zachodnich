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w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SUM(C3:C9987)</f>
        <v/>
      </c>
      <c r="Q2" s="2">
        <f>ROUND(MIN(M2:M9987),1)</f>
        <v/>
      </c>
      <c r="R2" s="2">
        <f>ROUND(MAX(M2:M9987),1)</f>
        <v/>
      </c>
      <c r="S2" s="2">
        <f>ABS((R2)-(Q2))</f>
        <v/>
      </c>
      <c r="T2">
        <f>ROUND(ABS(MAX(K2:K9987)-MIN(K2:K9987)),1)</f>
        <v/>
      </c>
      <c r="U2">
        <f>ROUND(ABS(MAX(L2:L9987)-MIN(L2:L9987)),1)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3.1</v>
      </c>
      <c r="D3" s="4" t="n">
        <v>26</v>
      </c>
      <c r="E3" s="4" t="n">
        <v>-13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  <c r="P3" s="1" t="inlineStr">
        <is>
          <t xml:space="preserve">8 m nowego </t>
        </is>
      </c>
    </row>
    <row r="4">
      <c r="A4" s="3" t="inlineStr">
        <is>
          <t>1</t>
        </is>
      </c>
      <c r="B4" s="3" t="inlineStr">
        <is>
          <t>2</t>
        </is>
      </c>
      <c r="C4" s="1" t="n">
        <v>2</v>
      </c>
      <c r="D4" s="4" t="n">
        <v>50</v>
      </c>
      <c r="E4" s="4" t="n">
        <v>-26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P4" t="inlineStr">
        <is>
          <t>(razem 9+8=17 m)</t>
        </is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2.35</v>
      </c>
      <c r="D5" s="4" t="n">
        <v>41</v>
      </c>
      <c r="E5" s="4" t="n">
        <v>-5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2.4</v>
      </c>
      <c r="D6" s="4" t="n">
        <v>350</v>
      </c>
      <c r="E6" s="4" t="n">
        <v>30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3</v>
      </c>
      <c r="D7" s="4" t="n">
        <v>80</v>
      </c>
      <c r="E7" s="4" t="n">
        <v>0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n"/>
      <c r="B8" s="3" t="n"/>
      <c r="C8" s="1" t="n"/>
      <c r="D8" s="4" t="n"/>
      <c r="E8" s="4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2" t="n"/>
      <c r="Q8" s="4" t="n"/>
    </row>
    <row r="9">
      <c r="A9" s="3" t="n"/>
      <c r="B9" s="3" t="inlineStr">
        <is>
          <t>4</t>
        </is>
      </c>
      <c r="C9" s="1" t="n"/>
      <c r="D9" s="4" t="n"/>
      <c r="E9" s="4" t="n"/>
      <c r="F9" s="1" t="n"/>
      <c r="G9" s="1" t="n"/>
      <c r="H9" s="1" t="n"/>
      <c r="I9" s="1" t="n"/>
      <c r="J9" s="1" t="n"/>
      <c r="K9" s="1" t="n">
        <v>3.876104086920562</v>
      </c>
      <c r="L9" s="1" t="n">
        <v>7.684020224283438</v>
      </c>
      <c r="M9" s="1" t="n">
        <v>-0.5789065575011332</v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4</t>
        </is>
      </c>
      <c r="B10" s="3" t="inlineStr">
        <is>
          <t>4.1</t>
        </is>
      </c>
      <c r="C10" s="1" t="n">
        <v>2.6</v>
      </c>
      <c r="D10" s="4" t="n">
        <v>222</v>
      </c>
      <c r="E10" s="4" t="n">
        <v>7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n"/>
      <c r="B11" s="3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" t="n"/>
    </row>
    <row r="12">
      <c r="A12" t="inlineStr">
        <is>
          <t>Nazwa: Gawra - domiary</t>
        </is>
      </c>
      <c r="B12" s="3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</row>
    <row r="13">
      <c r="B13" s="3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A14" t="inlineStr">
        <is>
          <t>Pomiary: J. Nowak; 11. 11. 2008 r.</t>
        </is>
      </c>
      <c r="B14" s="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t="inlineStr">
        <is>
          <t>Wysokość: ok. 1303 m npm</t>
        </is>
      </c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t="inlineStr">
        <is>
          <t>Wysokość nad dnem wąwozu: 130 m</t>
        </is>
      </c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s="3" t="n"/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s="3" t="n"/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s="3" t="n"/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