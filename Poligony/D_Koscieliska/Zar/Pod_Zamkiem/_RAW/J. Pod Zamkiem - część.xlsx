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Pod Zamkiem - częś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9.18</v>
      </c>
      <c r="D3" s="4" t="n">
        <v>234</v>
      </c>
      <c r="E3" s="4" t="n">
        <v>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  <c r="P3" s="1" t="inlineStr">
        <is>
          <t>38 m</t>
        </is>
      </c>
    </row>
    <row r="4">
      <c r="A4" s="3" t="inlineStr">
        <is>
          <t>1</t>
        </is>
      </c>
      <c r="B4" s="3" t="inlineStr">
        <is>
          <t>2</t>
        </is>
      </c>
      <c r="C4" s="1" t="n">
        <v>9.619999999999999</v>
      </c>
      <c r="D4" s="4" t="n">
        <v>230</v>
      </c>
      <c r="E4" s="4" t="n">
        <v>9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7.2</v>
      </c>
      <c r="D5" s="4" t="n">
        <v>205</v>
      </c>
      <c r="E5" s="4" t="n">
        <v>8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5.48</v>
      </c>
      <c r="D6" s="4" t="n">
        <v>195</v>
      </c>
      <c r="E6" s="4" t="n">
        <v>-4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6.35</v>
      </c>
      <c r="D7" s="4" t="n">
        <v>230</v>
      </c>
      <c r="E7" s="4" t="n">
        <v>1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10.05</v>
      </c>
      <c r="D8" s="4" t="n">
        <v>321</v>
      </c>
      <c r="E8" s="4" t="n">
        <v>5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6</t>
        </is>
      </c>
      <c r="B9" s="3" t="inlineStr">
        <is>
          <t>7</t>
        </is>
      </c>
      <c r="C9" s="1" t="n">
        <v>7.14</v>
      </c>
      <c r="D9" s="4" t="n">
        <v>199</v>
      </c>
      <c r="E9" s="4" t="n">
        <v>3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7</t>
        </is>
      </c>
      <c r="B10" s="3" t="inlineStr">
        <is>
          <t>8</t>
        </is>
      </c>
      <c r="C10" s="1" t="n">
        <v>2.52</v>
      </c>
      <c r="D10" s="4" t="n">
        <v>160</v>
      </c>
      <c r="E10" s="4" t="n">
        <v>42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8</t>
        </is>
      </c>
      <c r="B11" s="3" t="inlineStr">
        <is>
          <t>9</t>
        </is>
      </c>
      <c r="C11" s="1" t="n">
        <v>4.08</v>
      </c>
      <c r="D11" s="4" t="n">
        <v>199</v>
      </c>
      <c r="E11" s="4" t="n">
        <v>42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Q11" s="4" t="n"/>
    </row>
    <row r="12">
      <c r="A12" s="3" t="inlineStr">
        <is>
          <t>9</t>
        </is>
      </c>
      <c r="B12" s="3" t="inlineStr">
        <is>
          <t>10</t>
        </is>
      </c>
      <c r="C12" s="1" t="n">
        <v>1.5</v>
      </c>
      <c r="D12" s="4" t="n">
        <v>198</v>
      </c>
      <c r="E12" s="4" t="n">
        <v>42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>
        <f>SUM(K11+G12)</f>
        <v/>
      </c>
      <c r="L12" s="1">
        <f>SUM(L11+H12)</f>
        <v/>
      </c>
      <c r="M12" s="1">
        <f>SUM(M11+I12)</f>
        <v/>
      </c>
      <c r="N12" s="1">
        <f>SUM(J12+N11)</f>
        <v/>
      </c>
      <c r="O12" s="2">
        <f>ROUND(SUM(O11+F12),1)</f>
        <v/>
      </c>
      <c r="Q12" s="4" t="n"/>
    </row>
    <row r="13">
      <c r="A13" s="3" t="n"/>
      <c r="B13" s="3" t="n"/>
      <c r="C13" s="1" t="n"/>
      <c r="D13" s="4" t="n"/>
      <c r="E13" s="4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A14" s="3" t="n"/>
      <c r="B14" s="3" t="inlineStr">
        <is>
          <t>3</t>
        </is>
      </c>
      <c r="C14" s="1" t="n"/>
      <c r="D14" s="4" t="n"/>
      <c r="E14" s="4" t="n"/>
      <c r="F14" s="1" t="n"/>
      <c r="G14" s="1" t="n"/>
      <c r="H14" s="1" t="n"/>
      <c r="I14" s="1" t="n"/>
      <c r="J14" s="1" t="n"/>
      <c r="K14" s="1" t="n">
        <v>-17.71863331723946</v>
      </c>
      <c r="L14" s="1" t="n">
        <v>-17.96526600330426</v>
      </c>
      <c r="M14" s="1" t="n">
        <v>2.506945880599492</v>
      </c>
      <c r="N14" s="1">
        <f>SUM(J14+N13)</f>
        <v/>
      </c>
      <c r="O14" s="2">
        <f>ROUND(SUM(O13+F14),1)</f>
        <v/>
      </c>
    </row>
    <row r="15">
      <c r="A15" s="3" t="inlineStr">
        <is>
          <t>3</t>
        </is>
      </c>
      <c r="B15" s="3" t="inlineStr">
        <is>
          <t>3.1</t>
        </is>
      </c>
      <c r="C15" s="1" t="n">
        <v>3.45</v>
      </c>
      <c r="D15" s="4" t="n">
        <v>200</v>
      </c>
      <c r="E15" s="4" t="n">
        <v>9</v>
      </c>
      <c r="F15" s="1">
        <f>C15*COS(RADIANS(E15))</f>
        <v/>
      </c>
      <c r="G15" s="1">
        <f>C15*COS(RADIANS(E15)) *SIN(RADIANS(D15))</f>
        <v/>
      </c>
      <c r="H15" s="1">
        <f>C15*COS(RADIANS(E15))*COS(RADIANS(D15))</f>
        <v/>
      </c>
      <c r="I15" s="1">
        <f>C15*SIN(RADIANS(E15))</f>
        <v/>
      </c>
      <c r="J15" s="1">
        <f>C15*COS(RADIANS(E15))*COS(RADIANS(D15-180))</f>
        <v/>
      </c>
      <c r="K15" s="1">
        <f>SUM(K14+G15)</f>
        <v/>
      </c>
      <c r="L15" s="1">
        <f>SUM(L14+H15)</f>
        <v/>
      </c>
      <c r="M15" s="1">
        <f>SUM(M14+I15)</f>
        <v/>
      </c>
      <c r="N15" s="1">
        <f>SUM(J15+N14)</f>
        <v/>
      </c>
      <c r="O15" s="2">
        <f>ROUND(SUM(O14+F15),1)</f>
        <v/>
      </c>
    </row>
    <row r="16">
      <c r="A16" s="3" t="inlineStr">
        <is>
          <t>3.1</t>
        </is>
      </c>
      <c r="B16" s="3" t="inlineStr">
        <is>
          <t>3.2</t>
        </is>
      </c>
      <c r="C16" s="1" t="n">
        <v>4.05</v>
      </c>
      <c r="D16" s="4" t="n">
        <v>105</v>
      </c>
      <c r="E16" s="4" t="n">
        <v>78</v>
      </c>
      <c r="F16" s="1">
        <f>C16*COS(RADIANS(E16))</f>
        <v/>
      </c>
      <c r="G16" s="1">
        <f>C16*COS(RADIANS(E16)) *SIN(RADIANS(D16))</f>
        <v/>
      </c>
      <c r="H16" s="1">
        <f>C16*COS(RADIANS(E16))*COS(RADIANS(D16))</f>
        <v/>
      </c>
      <c r="I16" s="1">
        <f>C16*SIN(RADIANS(E16))</f>
        <v/>
      </c>
      <c r="J16" s="1">
        <f>C16*COS(RADIANS(E16))*COS(RADIANS(D16-180))</f>
        <v/>
      </c>
      <c r="K16" s="1">
        <f>SUM(K15+G16)</f>
        <v/>
      </c>
      <c r="L16" s="1">
        <f>SUM(L15+H16)</f>
        <v/>
      </c>
      <c r="M16" s="1">
        <f>SUM(M15+I16)</f>
        <v/>
      </c>
      <c r="N16" s="1">
        <f>SUM(J16+N15)</f>
        <v/>
      </c>
      <c r="O16" s="2">
        <f>ROUND(SUM(O15+F16),1)</f>
        <v/>
      </c>
    </row>
    <row r="17">
      <c r="A17" s="3" t="inlineStr">
        <is>
          <t>3.2</t>
        </is>
      </c>
      <c r="B17" s="3" t="inlineStr">
        <is>
          <t>3.3</t>
        </is>
      </c>
      <c r="C17" s="1" t="n">
        <v>3.65</v>
      </c>
      <c r="D17" s="4" t="n">
        <v>165</v>
      </c>
      <c r="E17" s="4" t="n">
        <v>56</v>
      </c>
      <c r="F17" s="1">
        <f>C17*COS(RADIANS(E17))</f>
        <v/>
      </c>
      <c r="G17" s="1">
        <f>C17*COS(RADIANS(E17)) *SIN(RADIANS(D17))</f>
        <v/>
      </c>
      <c r="H17" s="1">
        <f>C17*COS(RADIANS(E17))*COS(RADIANS(D17))</f>
        <v/>
      </c>
      <c r="I17" s="1">
        <f>C17*SIN(RADIANS(E17))</f>
        <v/>
      </c>
      <c r="J17" s="1">
        <f>C17*COS(RADIANS(E17))*COS(RADIANS(D17-180))</f>
        <v/>
      </c>
      <c r="K17" s="1">
        <f>SUM(K16+G17)</f>
        <v/>
      </c>
      <c r="L17" s="1">
        <f>SUM(L16+H17)</f>
        <v/>
      </c>
      <c r="M17" s="1">
        <f>SUM(M16+I17)</f>
        <v/>
      </c>
      <c r="N17" s="1">
        <f>SUM(J17+N16)</f>
        <v/>
      </c>
      <c r="O17" s="2">
        <f>ROUND(SUM(O16+F17),1)</f>
        <v/>
      </c>
    </row>
    <row r="18">
      <c r="A18" s="3" t="inlineStr">
        <is>
          <t>3.3</t>
        </is>
      </c>
      <c r="B18" s="3" t="inlineStr">
        <is>
          <t>3.4</t>
        </is>
      </c>
      <c r="C18" s="1" t="n">
        <v>0.5</v>
      </c>
      <c r="D18" s="4" t="n">
        <v>75</v>
      </c>
      <c r="E18" s="4" t="n">
        <v>0</v>
      </c>
      <c r="F18" s="1">
        <f>C18*COS(RADIANS(E18))</f>
        <v/>
      </c>
      <c r="G18" s="1">
        <f>C18*COS(RADIANS(E18)) *SIN(RADIANS(D18))</f>
        <v/>
      </c>
      <c r="H18" s="1">
        <f>C18*COS(RADIANS(E18))*COS(RADIANS(D18))</f>
        <v/>
      </c>
      <c r="I18" s="1">
        <f>C18*SIN(RADIANS(E18))</f>
        <v/>
      </c>
      <c r="J18" s="1">
        <f>C18*COS(RADIANS(E18))*COS(RADIANS(D18-180))</f>
        <v/>
      </c>
      <c r="K18" s="1">
        <f>SUM(K17+G18)</f>
        <v/>
      </c>
      <c r="L18" s="1">
        <f>SUM(L17+H18)</f>
        <v/>
      </c>
      <c r="M18" s="1">
        <f>SUM(M17+I18)</f>
        <v/>
      </c>
      <c r="N18" s="1">
        <f>SUM(J18+N17)</f>
        <v/>
      </c>
      <c r="O18" s="2">
        <f>ROUND(SUM(O17+F18),1)</f>
        <v/>
      </c>
    </row>
    <row r="19">
      <c r="A19" s="3" t="inlineStr">
        <is>
          <t>3.4</t>
        </is>
      </c>
      <c r="B19" s="3" t="inlineStr">
        <is>
          <t>3.5</t>
        </is>
      </c>
      <c r="C19" s="1" t="n">
        <v>4.75</v>
      </c>
      <c r="D19" s="4" t="n">
        <v>100</v>
      </c>
      <c r="E19" s="4" t="n">
        <v>-36</v>
      </c>
      <c r="F19" s="1">
        <f>C19*COS(RADIANS(E19))</f>
        <v/>
      </c>
      <c r="G19" s="1">
        <f>C19*COS(RADIANS(E19)) *SIN(RADIANS(D19))</f>
        <v/>
      </c>
      <c r="H19" s="1">
        <f>C19*COS(RADIANS(E19))*COS(RADIANS(D19))</f>
        <v/>
      </c>
      <c r="I19" s="1">
        <f>C19*SIN(RADIANS(E19))</f>
        <v/>
      </c>
      <c r="J19" s="1">
        <f>C19*COS(RADIANS(E19))*COS(RADIANS(D19-180))</f>
        <v/>
      </c>
      <c r="K19" s="1">
        <f>SUM(K18+G19)</f>
        <v/>
      </c>
      <c r="L19" s="1">
        <f>SUM(L18+H19)</f>
        <v/>
      </c>
      <c r="M19" s="1">
        <f>SUM(M18+I19)</f>
        <v/>
      </c>
      <c r="N19" s="1">
        <f>SUM(J19+N18)</f>
        <v/>
      </c>
      <c r="O19" s="2">
        <f>ROUND(SUM(O18+F19),1)</f>
        <v/>
      </c>
      <c r="P19" t="inlineStr">
        <is>
          <t>2 m komina między 4 a 5</t>
        </is>
      </c>
    </row>
    <row r="20">
      <c r="A20" s="3" t="inlineStr">
        <is>
          <t>3.5</t>
        </is>
      </c>
      <c r="B20" s="3" t="inlineStr">
        <is>
          <t>3.6</t>
        </is>
      </c>
      <c r="C20" s="1" t="n">
        <v>2.57</v>
      </c>
      <c r="D20" s="4" t="n">
        <v>124</v>
      </c>
      <c r="E20" s="4" t="n">
        <v>-62</v>
      </c>
      <c r="F20" s="1">
        <f>C20*COS(RADIANS(E20))</f>
        <v/>
      </c>
      <c r="G20" s="1">
        <f>C20*COS(RADIANS(E20)) *SIN(RADIANS(D20))</f>
        <v/>
      </c>
      <c r="H20" s="1">
        <f>C20*COS(RADIANS(E20))*COS(RADIANS(D20))</f>
        <v/>
      </c>
      <c r="I20" s="1">
        <f>C20*SIN(RADIANS(E20))</f>
        <v/>
      </c>
      <c r="J20" s="1">
        <f>C20*COS(RADIANS(E20))*COS(RADIANS(D20-180))</f>
        <v/>
      </c>
      <c r="K20" s="1">
        <f>SUM(K19+G20)</f>
        <v/>
      </c>
      <c r="L20" s="1">
        <f>SUM(L19+H20)</f>
        <v/>
      </c>
      <c r="M20" s="1">
        <f>SUM(M19+I20)</f>
        <v/>
      </c>
      <c r="N20" s="1">
        <f>SUM(J20+N19)</f>
        <v/>
      </c>
      <c r="O20" s="2">
        <f>ROUND(SUM(O19+F20),1)</f>
        <v/>
      </c>
    </row>
    <row r="21">
      <c r="A21" s="3" t="inlineStr">
        <is>
          <t>3.6</t>
        </is>
      </c>
      <c r="B21" s="3" t="inlineStr">
        <is>
          <t>3.7</t>
        </is>
      </c>
      <c r="C21" s="1" t="n">
        <v>3.7</v>
      </c>
      <c r="D21" s="4" t="n">
        <v>189</v>
      </c>
      <c r="E21" s="4" t="n">
        <v>20</v>
      </c>
      <c r="F21" s="1">
        <f>C21*COS(RADIANS(E21))</f>
        <v/>
      </c>
      <c r="G21" s="1">
        <f>C21*COS(RADIANS(E21)) *SIN(RADIANS(D21))</f>
        <v/>
      </c>
      <c r="H21" s="1">
        <f>C21*COS(RADIANS(E21))*COS(RADIANS(D21))</f>
        <v/>
      </c>
      <c r="I21" s="1">
        <f>C21*SIN(RADIANS(E21))</f>
        <v/>
      </c>
      <c r="J21" s="1">
        <f>C21*COS(RADIANS(E21))*COS(RADIANS(D21-180))</f>
        <v/>
      </c>
      <c r="K21" s="1">
        <f>SUM(K20+G21)</f>
        <v/>
      </c>
      <c r="L21" s="1">
        <f>SUM(L20+H21)</f>
        <v/>
      </c>
      <c r="M21" s="1">
        <f>SUM(M20+I21)</f>
        <v/>
      </c>
      <c r="N21" s="1">
        <f>SUM(J21+N20)</f>
        <v/>
      </c>
      <c r="O21" s="2">
        <f>ROUND(SUM(O20+F21),1)</f>
        <v/>
      </c>
    </row>
    <row r="22">
      <c r="A22" s="3" t="inlineStr">
        <is>
          <t>3.7</t>
        </is>
      </c>
      <c r="B22" s="3" t="inlineStr">
        <is>
          <t>3.8</t>
        </is>
      </c>
      <c r="C22" s="1" t="n">
        <v>3.4</v>
      </c>
      <c r="D22" s="4" t="n">
        <v>237</v>
      </c>
      <c r="E22" s="4" t="n">
        <v>42</v>
      </c>
      <c r="F22" s="1">
        <f>C22*COS(RADIANS(E22))</f>
        <v/>
      </c>
      <c r="G22" s="1">
        <f>C22*COS(RADIANS(E22)) *SIN(RADIANS(D22))</f>
        <v/>
      </c>
      <c r="H22" s="1">
        <f>C22*COS(RADIANS(E22))*COS(RADIANS(D22))</f>
        <v/>
      </c>
      <c r="I22" s="1">
        <f>C22*SIN(RADIANS(E22))</f>
        <v/>
      </c>
      <c r="J22" s="1">
        <f>C22*COS(RADIANS(E22))*COS(RADIANS(D22-180))</f>
        <v/>
      </c>
      <c r="K22" s="1">
        <f>SUM(K21+G22)</f>
        <v/>
      </c>
      <c r="L22" s="1">
        <f>SUM(L21+H22)</f>
        <v/>
      </c>
      <c r="M22" s="1">
        <f>SUM(M21+I22)</f>
        <v/>
      </c>
      <c r="N22" s="1">
        <f>SUM(J22+N21)</f>
        <v/>
      </c>
      <c r="O22" s="2">
        <f>ROUND(SUM(O21+F22),1)</f>
        <v/>
      </c>
    </row>
    <row r="23">
      <c r="A23" s="3" t="inlineStr">
        <is>
          <t>3.8</t>
        </is>
      </c>
      <c r="B23" s="3" t="inlineStr">
        <is>
          <t>3.9</t>
        </is>
      </c>
      <c r="C23" s="1" t="n">
        <v>2.25</v>
      </c>
      <c r="D23" s="4" t="n">
        <v>150</v>
      </c>
      <c r="E23" s="4" t="n">
        <v>25</v>
      </c>
      <c r="F23" s="1">
        <f>C23*COS(RADIANS(E23))</f>
        <v/>
      </c>
      <c r="G23" s="1">
        <f>C23*COS(RADIANS(E23)) *SIN(RADIANS(D23))</f>
        <v/>
      </c>
      <c r="H23" s="1">
        <f>C23*COS(RADIANS(E23))*COS(RADIANS(D23))</f>
        <v/>
      </c>
      <c r="I23" s="1">
        <f>C23*SIN(RADIANS(E23))</f>
        <v/>
      </c>
      <c r="J23" s="1">
        <f>C23*COS(RADIANS(E23))*COS(RADIANS(D23-180))</f>
        <v/>
      </c>
      <c r="K23" s="1">
        <f>SUM(K22+G23)</f>
        <v/>
      </c>
      <c r="L23" s="1">
        <f>SUM(L22+H23)</f>
        <v/>
      </c>
      <c r="M23" s="1">
        <f>SUM(M22+I23)</f>
        <v/>
      </c>
      <c r="N23" s="1">
        <f>SUM(J23+N22)</f>
        <v/>
      </c>
      <c r="O23" s="2">
        <f>ROUND(SUM(O22+F23),1)</f>
        <v/>
      </c>
    </row>
    <row r="24">
      <c r="A24" s="3" t="inlineStr">
        <is>
          <t>3.9</t>
        </is>
      </c>
      <c r="B24" s="3" t="inlineStr">
        <is>
          <t>3.10</t>
        </is>
      </c>
      <c r="C24" s="1" t="n">
        <v>1.9</v>
      </c>
      <c r="D24" s="4" t="n">
        <v>114</v>
      </c>
      <c r="E24" s="4" t="n">
        <v>-14</v>
      </c>
      <c r="F24" s="1">
        <f>C24*COS(RADIANS(E24))</f>
        <v/>
      </c>
      <c r="G24" s="1">
        <f>C24*COS(RADIANS(E24)) *SIN(RADIANS(D24))</f>
        <v/>
      </c>
      <c r="H24" s="1">
        <f>C24*COS(RADIANS(E24))*COS(RADIANS(D24))</f>
        <v/>
      </c>
      <c r="I24" s="1">
        <f>C24*SIN(RADIANS(E24))</f>
        <v/>
      </c>
      <c r="J24" s="1">
        <f>C24*COS(RADIANS(E24))*COS(RADIANS(D24-180))</f>
        <v/>
      </c>
      <c r="K24" s="1">
        <f>SUM(K23+G24)</f>
        <v/>
      </c>
      <c r="L24" s="1">
        <f>SUM(L23+H24)</f>
        <v/>
      </c>
      <c r="M24" s="1">
        <f>SUM(M23+I24)</f>
        <v/>
      </c>
      <c r="N24" s="1">
        <f>SUM(J24+N23)</f>
        <v/>
      </c>
      <c r="O24" s="2">
        <f>ROUND(SUM(O23+F24),1)</f>
        <v/>
      </c>
    </row>
    <row r="25">
      <c r="A25" s="3" t="inlineStr">
        <is>
          <t>3.10</t>
        </is>
      </c>
      <c r="B25" s="3" t="inlineStr">
        <is>
          <t>3.11</t>
        </is>
      </c>
      <c r="C25" s="1" t="n">
        <v>2</v>
      </c>
      <c r="D25" s="4" t="n">
        <v>165</v>
      </c>
      <c r="E25" s="4" t="n">
        <v>-15</v>
      </c>
      <c r="F25" s="1">
        <f>C25*COS(RADIANS(E25))</f>
        <v/>
      </c>
      <c r="G25" s="1">
        <f>C25*COS(RADIANS(E25)) *SIN(RADIANS(D25))</f>
        <v/>
      </c>
      <c r="H25" s="1">
        <f>C25*COS(RADIANS(E25))*COS(RADIANS(D25))</f>
        <v/>
      </c>
      <c r="I25" s="1">
        <f>C25*SIN(RADIANS(E25))</f>
        <v/>
      </c>
      <c r="J25" s="1">
        <f>C25*COS(RADIANS(E25))*COS(RADIANS(D25-180))</f>
        <v/>
      </c>
      <c r="K25" s="1">
        <f>SUM(K24+G25)</f>
        <v/>
      </c>
      <c r="L25" s="1">
        <f>SUM(L24+H25)</f>
        <v/>
      </c>
      <c r="M25" s="1">
        <f>SUM(M24+I25)</f>
        <v/>
      </c>
      <c r="N25" s="1">
        <f>SUM(J25+N24)</f>
        <v/>
      </c>
      <c r="O25" s="2">
        <f>ROUND(SUM(O24+F25),1)</f>
        <v/>
      </c>
    </row>
    <row r="26">
      <c r="A26" s="3" t="n"/>
      <c r="B26" s="3" t="n"/>
      <c r="C26" s="1" t="n"/>
      <c r="D26" s="4" t="n"/>
      <c r="E26" s="4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inlineStr">
        <is>
          <t>3.6</t>
        </is>
      </c>
      <c r="C27" s="1" t="n"/>
      <c r="D27" s="4" t="n"/>
      <c r="E27" s="4" t="n"/>
      <c r="F27" s="1" t="n"/>
      <c r="G27" s="1" t="n"/>
      <c r="H27" s="1" t="n"/>
      <c r="I27" s="1" t="n"/>
      <c r="J27" s="1" t="n"/>
      <c r="K27" s="1" t="n">
        <v>-12.27478032157727</v>
      </c>
      <c r="L27" s="1" t="n">
        <v>-24.56931605875171</v>
      </c>
      <c r="M27" s="1" t="n">
        <v>4.972974445749414</v>
      </c>
      <c r="N27" s="1">
        <f>SUM(J27+N26)</f>
        <v/>
      </c>
      <c r="O27" s="2">
        <f>ROUND(SUM(O26+F27),1)</f>
        <v/>
      </c>
    </row>
    <row r="28">
      <c r="A28" s="3" t="inlineStr">
        <is>
          <t>3.6</t>
        </is>
      </c>
      <c r="B28" s="3" t="inlineStr">
        <is>
          <t>3.6.1</t>
        </is>
      </c>
      <c r="C28" s="1" t="n">
        <v>3.8</v>
      </c>
      <c r="D28" s="4" t="n">
        <v>10</v>
      </c>
      <c r="E28" s="4" t="n">
        <v>-45</v>
      </c>
      <c r="F28" s="1">
        <f>C28*COS(RADIANS(E28))</f>
        <v/>
      </c>
      <c r="G28" s="1">
        <f>C28*COS(RADIANS(E28)) *SIN(RADIANS(D28))</f>
        <v/>
      </c>
      <c r="H28" s="1">
        <f>C28*COS(RADIANS(E28))*COS(RADIANS(D28))</f>
        <v/>
      </c>
      <c r="I28" s="1">
        <f>C28*SIN(RADIANS(E28))</f>
        <v/>
      </c>
      <c r="J28" s="1">
        <f>C28*COS(RADIANS(E28))*COS(RADIANS(D28-180))</f>
        <v/>
      </c>
      <c r="K28" s="1">
        <f>SUM(K27+G28)</f>
        <v/>
      </c>
      <c r="L28" s="1">
        <f>SUM(L27+H28)</f>
        <v/>
      </c>
      <c r="M28" s="1">
        <f>SUM(M27+I28)</f>
        <v/>
      </c>
      <c r="N28" s="1">
        <f>SUM(J28+N27)</f>
        <v/>
      </c>
      <c r="O28" s="2">
        <f>ROUND(SUM(O27+F28),1)</f>
        <v/>
      </c>
    </row>
    <row r="29">
      <c r="A29" s="3" t="n"/>
      <c r="B29" s="3" t="n"/>
      <c r="C29" s="1" t="n"/>
      <c r="D29" s="4" t="n"/>
      <c r="E29" s="4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inlineStr">
        <is>
          <t>3.9</t>
        </is>
      </c>
      <c r="C30" s="1" t="n"/>
      <c r="D30" s="4" t="n"/>
      <c r="E30" s="4" t="n"/>
      <c r="F30" s="1" t="n"/>
      <c r="G30" s="1" t="n"/>
      <c r="H30" s="1" t="n"/>
      <c r="I30" s="1" t="n"/>
      <c r="J30" s="1" t="n"/>
      <c r="K30" s="1" t="n">
        <v>-13.91814777285618</v>
      </c>
      <c r="L30" s="1" t="n">
        <v>-31.14550064670894</v>
      </c>
      <c r="M30" s="1" t="n">
        <v>9.46438412659108</v>
      </c>
      <c r="N30" s="1">
        <f>SUM(J30+N29)</f>
        <v/>
      </c>
      <c r="O30" s="2">
        <f>ROUND(SUM(O29+F30),1)</f>
        <v/>
      </c>
    </row>
    <row r="31">
      <c r="A31" s="3" t="inlineStr">
        <is>
          <t>3.9</t>
        </is>
      </c>
      <c r="B31" s="3" t="inlineStr">
        <is>
          <t>3.9.1</t>
        </is>
      </c>
      <c r="C31" s="1" t="n">
        <v>3.2</v>
      </c>
      <c r="D31" s="4" t="n">
        <v>290</v>
      </c>
      <c r="E31" s="4" t="n">
        <v>25</v>
      </c>
      <c r="F31" s="1">
        <f>C31*COS(RADIANS(E31))</f>
        <v/>
      </c>
      <c r="G31" s="1">
        <f>C31*COS(RADIANS(E31)) *SIN(RADIANS(D31))</f>
        <v/>
      </c>
      <c r="H31" s="1">
        <f>C31*COS(RADIANS(E31))*COS(RADIANS(D31))</f>
        <v/>
      </c>
      <c r="I31" s="1">
        <f>C31*SIN(RADIANS(E31))</f>
        <v/>
      </c>
      <c r="J31" s="1">
        <f>C31*COS(RADIANS(E31))*COS(RADIANS(D31-180))</f>
        <v/>
      </c>
      <c r="K31" s="1">
        <f>SUM(K30+G31)</f>
        <v/>
      </c>
      <c r="L31" s="1">
        <f>SUM(L30+H31)</f>
        <v/>
      </c>
      <c r="M31" s="1">
        <f>SUM(M30+I31)</f>
        <v/>
      </c>
      <c r="N31" s="1">
        <f>SUM(J31+N30)</f>
        <v/>
      </c>
      <c r="O31" s="2">
        <f>ROUND(SUM(O30+F31),1)</f>
        <v/>
      </c>
    </row>
    <row r="32">
      <c r="A32" s="3" t="n"/>
      <c r="B32" s="3" t="n"/>
      <c r="C32" s="1" t="n"/>
      <c r="D32" s="4" t="n"/>
      <c r="E32" s="4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C33" s="1" t="n">
        <v>0</v>
      </c>
      <c r="D33" s="4" t="n">
        <v>0</v>
      </c>
      <c r="E33" s="4" t="n">
        <v>0</v>
      </c>
      <c r="F33" s="1">
        <f>C33*COS(RADIANS(E33))</f>
        <v/>
      </c>
      <c r="G33" s="1">
        <f>C33*COS(RADIANS(E33)) *SIN(RADIANS(D33))</f>
        <v/>
      </c>
      <c r="H33" s="1">
        <f>C33*COS(RADIANS(E33))*COS(RADIANS(D33))</f>
        <v/>
      </c>
      <c r="I33" s="1">
        <f>C33*SIN(RADIANS(E33))</f>
        <v/>
      </c>
      <c r="J33" s="1">
        <f>C33*COS(RADIANS(E33))*COS(RADIANS(D33-180))</f>
        <v/>
      </c>
      <c r="K33" s="1">
        <f>SUM(K32+G33)</f>
        <v/>
      </c>
      <c r="L33" s="1">
        <f>SUM(L32+H33)</f>
        <v/>
      </c>
      <c r="M33" s="1">
        <f>SUM(M32+I33)</f>
        <v/>
      </c>
      <c r="N33" s="1">
        <f>SUM(J33+N32)</f>
        <v/>
      </c>
      <c r="O33" s="2">
        <f>ROUND(SUM(O32+F33),1)</f>
        <v/>
      </c>
    </row>
    <row r="34">
      <c r="A34" s="3" t="n"/>
      <c r="B34" s="3" t="n"/>
      <c r="C34" s="1" t="n">
        <v>0</v>
      </c>
      <c r="D34" s="4" t="n">
        <v>0</v>
      </c>
      <c r="E34" s="4" t="n">
        <v>0</v>
      </c>
      <c r="F34" s="1">
        <f>C34*COS(RADIANS(E34))</f>
        <v/>
      </c>
      <c r="G34" s="1">
        <f>C34*COS(RADIANS(E34)) *SIN(RADIANS(D34))</f>
        <v/>
      </c>
      <c r="H34" s="1">
        <f>C34*COS(RADIANS(E34))*COS(RADIANS(D34))</f>
        <v/>
      </c>
      <c r="I34" s="1">
        <f>C34*SIN(RADIANS(E34))</f>
        <v/>
      </c>
      <c r="J34" s="1">
        <f>C34*COS(RADIANS(E34))*COS(RADIANS(D34-180))</f>
        <v/>
      </c>
      <c r="K34" s="1">
        <f>SUM(K33+G34)</f>
        <v/>
      </c>
      <c r="L34" s="1">
        <f>SUM(L33+H34)</f>
        <v/>
      </c>
      <c r="M34" s="1">
        <f>SUM(M33+I34)</f>
        <v/>
      </c>
      <c r="N34" s="1">
        <f>SUM(J34+N33)</f>
        <v/>
      </c>
      <c r="O34" s="2">
        <f>ROUND(SUM(O33+F34),1)</f>
        <v/>
      </c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