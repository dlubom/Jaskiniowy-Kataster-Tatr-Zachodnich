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. w Zbójnickiej Tur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SUM(C3:C9992)</f>
        <v/>
      </c>
      <c r="Q2" s="2">
        <f>ROUND(MIN(M2:M9992),1)</f>
        <v/>
      </c>
      <c r="R2" s="2">
        <f>ROUND(MAX(M2:M9992),1)</f>
        <v/>
      </c>
      <c r="S2" s="2">
        <f>ABS((R2)-(Q2))</f>
        <v/>
      </c>
      <c r="T2">
        <f>ROUND(ABS(MAX(K2:K9992)-MIN(K2:K9992)),1)</f>
        <v/>
      </c>
      <c r="U2">
        <f>ROUND(ABS(MAX(L2:L9992)-MIN(L2:L9992)),1)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3</v>
      </c>
      <c r="D3" s="4" t="n">
        <v>223</v>
      </c>
      <c r="E3" s="4" t="n">
        <v>10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1" t="n">
        <v>2.75</v>
      </c>
      <c r="D4" s="4" t="n">
        <v>235</v>
      </c>
      <c r="E4" s="4" t="n">
        <v>18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4.2</v>
      </c>
      <c r="D5" s="4" t="n">
        <v>280</v>
      </c>
      <c r="E5" s="4" t="n">
        <v>30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inlineStr">
        <is>
          <t>3</t>
        </is>
      </c>
      <c r="B6" s="3" t="inlineStr">
        <is>
          <t>4</t>
        </is>
      </c>
      <c r="C6" s="1" t="n">
        <v>3.45</v>
      </c>
      <c r="D6" s="4" t="n">
        <v>246</v>
      </c>
      <c r="E6" s="4" t="n">
        <v>-8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Q6" s="4" t="n"/>
    </row>
    <row r="7">
      <c r="A7" s="3" t="inlineStr">
        <is>
          <t>4</t>
        </is>
      </c>
      <c r="B7" s="3" t="inlineStr">
        <is>
          <t>5</t>
        </is>
      </c>
      <c r="C7" s="1" t="n">
        <v>4.2</v>
      </c>
      <c r="D7" s="4" t="n">
        <v>218</v>
      </c>
      <c r="E7" s="4" t="n">
        <v>-22</v>
      </c>
      <c r="F7" s="1">
        <f>C7*COS(RADIANS(E7))</f>
        <v/>
      </c>
      <c r="G7" s="1">
        <f>C7*COS(RADIANS(E7)) *SIN(RADIANS(D7))</f>
        <v/>
      </c>
      <c r="H7" s="1">
        <f>C7*COS(RADIANS(E7))*COS(RADIANS(D7))</f>
        <v/>
      </c>
      <c r="I7" s="1">
        <f>C7*SIN(RADIANS(E7))</f>
        <v/>
      </c>
      <c r="J7" s="1">
        <f>C7*COS(RADIANS(E7))*COS(RADIANS(D7-180))</f>
        <v/>
      </c>
      <c r="K7" s="1">
        <f>SUM(K6+G7)</f>
        <v/>
      </c>
      <c r="L7" s="1">
        <f>SUM(L6+H7)</f>
        <v/>
      </c>
      <c r="M7" s="1">
        <f>SUM(M6+I7)</f>
        <v/>
      </c>
      <c r="N7" s="1">
        <f>SUM(J7+N6)</f>
        <v/>
      </c>
      <c r="O7" s="2">
        <f>ROUND(SUM(O6+F7),1)</f>
        <v/>
      </c>
      <c r="Q7" s="4" t="n"/>
    </row>
    <row r="8">
      <c r="A8" s="3" t="inlineStr">
        <is>
          <t>5</t>
        </is>
      </c>
      <c r="B8" s="3" t="inlineStr">
        <is>
          <t>6</t>
        </is>
      </c>
      <c r="C8" s="1" t="n">
        <v>3.55</v>
      </c>
      <c r="D8" s="4" t="n">
        <v>273</v>
      </c>
      <c r="E8" s="4" t="n">
        <v>-12</v>
      </c>
      <c r="F8" s="1">
        <f>C8*COS(RADIANS(E8))</f>
        <v/>
      </c>
      <c r="G8" s="1">
        <f>C8*COS(RADIANS(E8)) *SIN(RADIANS(D8))</f>
        <v/>
      </c>
      <c r="H8" s="1">
        <f>C8*COS(RADIANS(E8))*COS(RADIANS(D8))</f>
        <v/>
      </c>
      <c r="I8" s="1">
        <f>C8*SIN(RADIANS(E8))</f>
        <v/>
      </c>
      <c r="J8" s="1">
        <f>C8*COS(RADIANS(E8))*COS(RADIANS(D8-180))</f>
        <v/>
      </c>
      <c r="K8" s="1">
        <f>SUM(K7+G8)</f>
        <v/>
      </c>
      <c r="L8" s="1">
        <f>SUM(L7+H8)</f>
        <v/>
      </c>
      <c r="M8" s="1">
        <f>SUM(M7+I8)</f>
        <v/>
      </c>
      <c r="N8" s="1">
        <f>SUM(J8+N7)</f>
        <v/>
      </c>
      <c r="O8" s="2">
        <f>ROUND(SUM(O7+F8),1)</f>
        <v/>
      </c>
      <c r="Q8" s="4" t="n"/>
    </row>
    <row r="9">
      <c r="A9" s="3" t="inlineStr">
        <is>
          <t>6</t>
        </is>
      </c>
      <c r="B9" s="3" t="inlineStr">
        <is>
          <t>7</t>
        </is>
      </c>
      <c r="C9" s="1" t="n">
        <v>8.800000000000001</v>
      </c>
      <c r="D9" s="4" t="n">
        <v>254</v>
      </c>
      <c r="E9" s="4" t="n">
        <v>-18</v>
      </c>
      <c r="F9" s="1">
        <f>C9*COS(RADIANS(E9))</f>
        <v/>
      </c>
      <c r="G9" s="1">
        <f>C9*COS(RADIANS(E9)) *SIN(RADIANS(D9))</f>
        <v/>
      </c>
      <c r="H9" s="1">
        <f>C9*COS(RADIANS(E9))*COS(RADIANS(D9))</f>
        <v/>
      </c>
      <c r="I9" s="1">
        <f>C9*SIN(RADIANS(E9))</f>
        <v/>
      </c>
      <c r="J9" s="1">
        <f>C9*COS(RADIANS(E9))*COS(RADIANS(D9-180))</f>
        <v/>
      </c>
      <c r="K9" s="1">
        <f>SUM(K8+G9)</f>
        <v/>
      </c>
      <c r="L9" s="1">
        <f>SUM(L8+H9)</f>
        <v/>
      </c>
      <c r="M9" s="1">
        <f>SUM(M8+I9)</f>
        <v/>
      </c>
      <c r="N9" s="1">
        <f>SUM(J9+N8)</f>
        <v/>
      </c>
      <c r="O9" s="2">
        <f>ROUND(SUM(O8+F9),1)</f>
        <v/>
      </c>
      <c r="Q9" s="4" t="n"/>
    </row>
    <row r="10">
      <c r="A10" s="3" t="n"/>
      <c r="B10" s="3" t="n"/>
      <c r="C10" s="1" t="n"/>
      <c r="D10" s="4" t="n"/>
      <c r="E10" s="4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2" t="n"/>
      <c r="Q10" s="4" t="n"/>
    </row>
    <row r="11">
      <c r="A11" s="3" t="n"/>
      <c r="B11" s="3" t="inlineStr">
        <is>
          <t>3</t>
        </is>
      </c>
      <c r="C11" s="1" t="n"/>
      <c r="D11" s="4" t="n"/>
      <c r="E11" s="4" t="n"/>
      <c r="F11" s="1" t="n"/>
      <c r="G11" s="1" t="n"/>
      <c r="H11" s="1" t="n"/>
      <c r="I11" s="1" t="n"/>
      <c r="J11" s="1" t="n"/>
      <c r="K11" s="1" t="n">
        <v>-7.73937434807698</v>
      </c>
      <c r="L11" s="1" t="n">
        <v>-3.029251627597173</v>
      </c>
      <c r="M11" s="1" t="n">
        <v>3.470741267531896</v>
      </c>
      <c r="N11" s="1">
        <f>SUM(J11+N10)</f>
        <v/>
      </c>
      <c r="O11" s="2">
        <f>ROUND(SUM(O10+F11),1)</f>
        <v/>
      </c>
      <c r="Q11" s="4" t="n"/>
    </row>
    <row r="12">
      <c r="A12" s="3" t="inlineStr">
        <is>
          <t>3</t>
        </is>
      </c>
      <c r="B12" s="3" t="inlineStr">
        <is>
          <t>3.1</t>
        </is>
      </c>
      <c r="C12" s="1" t="n">
        <v>4</v>
      </c>
      <c r="D12" s="4" t="n">
        <v>283</v>
      </c>
      <c r="E12" s="4" t="n">
        <v>40</v>
      </c>
      <c r="F12" s="1">
        <f>C12*COS(RADIANS(E12))</f>
        <v/>
      </c>
      <c r="G12" s="1">
        <f>C12*COS(RADIANS(E12)) *SIN(RADIANS(D12))</f>
        <v/>
      </c>
      <c r="H12" s="1">
        <f>C12*COS(RADIANS(E12))*COS(RADIANS(D12))</f>
        <v/>
      </c>
      <c r="I12" s="1">
        <f>C12*SIN(RADIANS(E12))</f>
        <v/>
      </c>
      <c r="J12" s="1">
        <f>C12*COS(RADIANS(E12))*COS(RADIANS(D12-180))</f>
        <v/>
      </c>
      <c r="K12" s="1">
        <f>SUM(K11+G12)</f>
        <v/>
      </c>
      <c r="L12" s="1">
        <f>SUM(L11+H12)</f>
        <v/>
      </c>
      <c r="M12" s="1">
        <f>SUM(M11+I12)</f>
        <v/>
      </c>
      <c r="N12" s="1">
        <f>SUM(J12+N11)</f>
        <v/>
      </c>
      <c r="O12" s="2">
        <f>ROUND(SUM(O11+F12),1)</f>
        <v/>
      </c>
      <c r="Q12" s="4" t="n"/>
    </row>
    <row r="13">
      <c r="A13" s="3" t="n"/>
      <c r="B13" s="3" t="n"/>
      <c r="C13" s="1" t="n"/>
      <c r="D13" s="4" t="n"/>
      <c r="E13" s="4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2" t="n"/>
    </row>
    <row r="14">
      <c r="A14" s="3" t="n"/>
      <c r="B14" s="3" t="inlineStr">
        <is>
          <t>5</t>
        </is>
      </c>
      <c r="C14" s="1" t="n"/>
      <c r="D14" s="4" t="n"/>
      <c r="E14" s="4" t="n"/>
      <c r="F14" s="1" t="n"/>
      <c r="G14" s="1" t="n"/>
      <c r="H14" s="1" t="n"/>
      <c r="I14" s="1" t="n"/>
      <c r="J14" s="1" t="n"/>
      <c r="K14" s="1" t="n">
        <v>-13.25792553460343</v>
      </c>
      <c r="L14" s="1" t="n">
        <v>-7.487486358654246</v>
      </c>
      <c r="M14" s="1" t="n">
        <v>1.41724637687284</v>
      </c>
      <c r="N14" s="1">
        <f>SUM(J14+N13)</f>
        <v/>
      </c>
      <c r="O14" s="2">
        <f>ROUND(SUM(O13+F14),1)</f>
        <v/>
      </c>
    </row>
    <row r="15">
      <c r="A15" s="3" t="inlineStr">
        <is>
          <t>5</t>
        </is>
      </c>
      <c r="B15" s="3" t="inlineStr">
        <is>
          <t>5.1</t>
        </is>
      </c>
      <c r="C15" s="1" t="n">
        <v>4</v>
      </c>
      <c r="D15" s="4" t="n">
        <v>15</v>
      </c>
      <c r="E15" s="4" t="n">
        <v>0</v>
      </c>
      <c r="F15" s="1">
        <f>C15*COS(RADIANS(E15))</f>
        <v/>
      </c>
      <c r="G15" s="1">
        <f>C15*COS(RADIANS(E15)) *SIN(RADIANS(D15))</f>
        <v/>
      </c>
      <c r="H15" s="1">
        <f>C15*COS(RADIANS(E15))*COS(RADIANS(D15))</f>
        <v/>
      </c>
      <c r="I15" s="1">
        <f>C15*SIN(RADIANS(E15))</f>
        <v/>
      </c>
      <c r="J15" s="1">
        <f>C15*COS(RADIANS(E15))*COS(RADIANS(D15-180))</f>
        <v/>
      </c>
      <c r="K15" s="1">
        <f>SUM(K14+G15)</f>
        <v/>
      </c>
      <c r="L15" s="1">
        <f>SUM(L14+H15)</f>
        <v/>
      </c>
      <c r="M15" s="1">
        <f>SUM(M14+I15)</f>
        <v/>
      </c>
      <c r="N15" s="1">
        <f>SUM(J15+N14)</f>
        <v/>
      </c>
      <c r="O15" s="2">
        <f>ROUND(SUM(O14+F15),1)</f>
        <v/>
      </c>
    </row>
    <row r="16">
      <c r="A16" s="3" t="n"/>
      <c r="B16" s="3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2" t="n"/>
    </row>
    <row r="17">
      <c r="A17" t="inlineStr">
        <is>
          <t>Nazwa: Jaskinia w Zbójnickiej Turni</t>
        </is>
      </c>
      <c r="B17" s="3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2" t="n"/>
    </row>
    <row r="18">
      <c r="B18" s="3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2" t="n"/>
    </row>
    <row r="19">
      <c r="A19" t="inlineStr">
        <is>
          <t>Pomiary: J. Nowak, J. Wołek,  15. 07. 2007 r.</t>
        </is>
      </c>
      <c r="B19" s="3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2" t="n"/>
    </row>
    <row r="20">
      <c r="A20" t="inlineStr">
        <is>
          <t>Wysokość: ok. 1250 m npm</t>
        </is>
      </c>
      <c r="B20" s="3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2" t="n"/>
    </row>
    <row r="21">
      <c r="A21" t="inlineStr">
        <is>
          <t>Wysokość nad dnem wąwozu: ok. 150 m</t>
        </is>
      </c>
      <c r="B21" s="3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2" t="n"/>
    </row>
    <row r="22">
      <c r="A22" s="3" t="n"/>
      <c r="B22" s="3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" t="n"/>
    </row>
    <row r="23">
      <c r="A23" s="3" t="n"/>
      <c r="B23" s="3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2" t="n"/>
    </row>
    <row r="24">
      <c r="A24" s="3" t="n"/>
      <c r="B24" s="3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</row>
    <row r="25">
      <c r="A25" s="3" t="n"/>
      <c r="B25" s="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</row>
    <row r="27">
      <c r="A27" s="3" t="n"/>
      <c r="B27" s="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</row>
    <row r="31">
      <c r="A31" s="3" t="n"/>
      <c r="B31" s="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</row>
    <row r="34">
      <c r="A34" s="3" t="n"/>
      <c r="B34" s="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  <row r="90">
      <c r="A90" s="3" t="n"/>
      <c r="B90" s="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</row>
    <row r="91">
      <c r="A91" s="3" t="n"/>
      <c r="B91" s="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2" t="n"/>
    </row>
    <row r="92">
      <c r="A92" s="3" t="n"/>
      <c r="B92" s="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2" t="n"/>
    </row>
    <row r="93">
      <c r="A93" s="3" t="n"/>
      <c r="B93" s="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