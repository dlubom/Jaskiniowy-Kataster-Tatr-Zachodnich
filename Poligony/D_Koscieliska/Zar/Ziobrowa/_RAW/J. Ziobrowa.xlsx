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. Ziobro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SUM(C3:C10007)</f>
        <v/>
      </c>
      <c r="Q2" s="2">
        <f>ROUND(MIN(M2:M10007),1)</f>
        <v/>
      </c>
      <c r="R2" s="2">
        <f>ROUND(MAX(M2:M10007),1)</f>
        <v/>
      </c>
      <c r="S2" s="2">
        <f>ABS((R2)-(Q2))</f>
        <v/>
      </c>
      <c r="T2">
        <f>ROUND(ABS(MAX(K2:K10007)-MIN(K2:K10007)),1)</f>
        <v/>
      </c>
      <c r="U2">
        <f>ROUND(ABS(MAX(L2:L10007)-MIN(L2:L10007)),1)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2.54</v>
      </c>
      <c r="D3" s="4" t="n">
        <v>116</v>
      </c>
      <c r="E3" s="4" t="n">
        <v>4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  <c r="P3" s="4" t="n">
        <v>160</v>
      </c>
      <c r="S3" s="2" t="n">
        <v>17</v>
      </c>
    </row>
    <row r="4">
      <c r="A4" s="3" t="inlineStr">
        <is>
          <t>1</t>
        </is>
      </c>
      <c r="B4" s="3" t="inlineStr">
        <is>
          <t>2</t>
        </is>
      </c>
      <c r="C4" s="1" t="n">
        <v>4.45</v>
      </c>
      <c r="D4" s="4" t="n">
        <v>112</v>
      </c>
      <c r="E4" s="4" t="n">
        <v>0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2.2</v>
      </c>
      <c r="D5" s="4" t="n">
        <v>110</v>
      </c>
      <c r="E5" s="4" t="n">
        <v>0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1.9</v>
      </c>
      <c r="D6" s="4" t="n">
        <v>105</v>
      </c>
      <c r="E6" s="4" t="n">
        <v>0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inlineStr">
        <is>
          <t>4</t>
        </is>
      </c>
      <c r="B7" s="3" t="inlineStr">
        <is>
          <t>5</t>
        </is>
      </c>
      <c r="C7" s="1" t="n">
        <v>0.85</v>
      </c>
      <c r="D7" s="4" t="n">
        <v>113</v>
      </c>
      <c r="E7" s="4" t="n">
        <v>0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inlineStr">
        <is>
          <t>5</t>
        </is>
      </c>
      <c r="B8" s="3" t="inlineStr">
        <is>
          <t>6</t>
        </is>
      </c>
      <c r="C8" s="1" t="n">
        <v>1.7</v>
      </c>
      <c r="D8" s="4" t="n">
        <v>133</v>
      </c>
      <c r="E8" s="4" t="n">
        <v>0</v>
      </c>
      <c r="F8" s="1">
        <f>C8*COS(RADIANS(E8))</f>
        <v/>
      </c>
      <c r="G8" s="1">
        <f>C8*COS(RADIANS(E8)) *SIN(RADIANS(D8))</f>
        <v/>
      </c>
      <c r="H8" s="1">
        <f>C8*COS(RADIANS(E8))*COS(RADIANS(D8))</f>
        <v/>
      </c>
      <c r="I8" s="1">
        <f>C8*SIN(RADIANS(E8))</f>
        <v/>
      </c>
      <c r="J8" s="1">
        <f>C8*COS(RADIANS(E8))*COS(RADIANS(D8-180))</f>
        <v/>
      </c>
      <c r="K8" s="1">
        <f>SUM(K7+G8)</f>
        <v/>
      </c>
      <c r="L8" s="1">
        <f>SUM(L7+H8)</f>
        <v/>
      </c>
      <c r="M8" s="1">
        <f>SUM(M7+I8)</f>
        <v/>
      </c>
      <c r="N8" s="1">
        <f>SUM(J8+N7)</f>
        <v/>
      </c>
      <c r="O8" s="2">
        <f>ROUND(SUM(O7+F8),1)</f>
        <v/>
      </c>
      <c r="Q8" s="4" t="n"/>
    </row>
    <row r="9">
      <c r="A9" s="3" t="inlineStr">
        <is>
          <t>6</t>
        </is>
      </c>
      <c r="B9" s="3" t="inlineStr">
        <is>
          <t>7</t>
        </is>
      </c>
      <c r="C9" s="1" t="n">
        <v>1</v>
      </c>
      <c r="D9" s="4" t="n">
        <v>119</v>
      </c>
      <c r="E9" s="4" t="n">
        <v>0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A10" s="3" t="inlineStr">
        <is>
          <t>7</t>
        </is>
      </c>
      <c r="B10" s="3" t="inlineStr">
        <is>
          <t>8</t>
        </is>
      </c>
      <c r="C10" s="1" t="n">
        <v>3.2</v>
      </c>
      <c r="D10" s="4" t="n">
        <v>113</v>
      </c>
      <c r="E10" s="4" t="n">
        <v>5</v>
      </c>
      <c r="F10" s="1">
        <f>C10*COS(RADIANS(E10))</f>
        <v/>
      </c>
      <c r="G10" s="1">
        <f>C10*COS(RADIANS(E10)) *SIN(RADIANS(D10))</f>
        <v/>
      </c>
      <c r="H10" s="1">
        <f>C10*COS(RADIANS(E10))*COS(RADIANS(D10))</f>
        <v/>
      </c>
      <c r="I10" s="1">
        <f>C10*SIN(RADIANS(E10))</f>
        <v/>
      </c>
      <c r="J10" s="1">
        <f>C10*COS(RADIANS(E10))*COS(RADIANS(D10-180))</f>
        <v/>
      </c>
      <c r="K10" s="1">
        <f>SUM(K9+G10)</f>
        <v/>
      </c>
      <c r="L10" s="1">
        <f>SUM(L9+H10)</f>
        <v/>
      </c>
      <c r="M10" s="1">
        <f>SUM(M9+I10)</f>
        <v/>
      </c>
      <c r="N10" s="1">
        <f>SUM(J10+N9)</f>
        <v/>
      </c>
      <c r="O10" s="2">
        <f>ROUND(SUM(O9+F10),1)</f>
        <v/>
      </c>
      <c r="Q10" s="4" t="n"/>
    </row>
    <row r="11">
      <c r="A11" s="3" t="n"/>
      <c r="B11" s="3" t="n"/>
      <c r="C11" s="1" t="n"/>
      <c r="D11" s="4" t="n"/>
      <c r="E11" s="4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2" t="n"/>
      <c r="Q11" s="4" t="n"/>
    </row>
    <row r="12">
      <c r="A12" s="3" t="n"/>
      <c r="B12" s="3" t="inlineStr">
        <is>
          <t>1</t>
        </is>
      </c>
      <c r="C12" s="1" t="n"/>
      <c r="D12" s="4" t="n"/>
      <c r="E12" s="4" t="n"/>
      <c r="F12" s="1" t="n"/>
      <c r="G12" s="1" t="n"/>
      <c r="H12" s="1" t="n"/>
      <c r="I12" s="1" t="n"/>
      <c r="J12" s="1" t="n"/>
      <c r="K12" s="1" t="n">
        <v>2.277375758106057</v>
      </c>
      <c r="L12" s="1" t="n">
        <v>-1.110750373638208</v>
      </c>
      <c r="M12" s="1" t="n">
        <v>0.1771814433100783</v>
      </c>
      <c r="N12" s="1">
        <f>SUM(J12+N11)</f>
        <v/>
      </c>
      <c r="O12" s="2">
        <f>ROUND(SUM(O11+F12),1)</f>
        <v/>
      </c>
      <c r="Q12" s="4" t="n"/>
    </row>
    <row r="13">
      <c r="A13" s="3" t="inlineStr">
        <is>
          <t>1</t>
        </is>
      </c>
      <c r="B13" s="3" t="inlineStr">
        <is>
          <t>1'</t>
        </is>
      </c>
      <c r="C13" s="1" t="n">
        <v>2.5</v>
      </c>
      <c r="D13" s="4" t="n">
        <v>34</v>
      </c>
      <c r="E13" s="4" t="n">
        <v>0</v>
      </c>
      <c r="F13" s="1">
        <f>C13*COS(RADIANS(E13))</f>
        <v/>
      </c>
      <c r="G13" s="1">
        <f>C13*COS(RADIANS(E13)) *SIN(RADIANS(D13))</f>
        <v/>
      </c>
      <c r="H13" s="1">
        <f>C13*COS(RADIANS(E13))*COS(RADIANS(D13))</f>
        <v/>
      </c>
      <c r="I13" s="1">
        <f>C13*SIN(RADIANS(E13))</f>
        <v/>
      </c>
      <c r="J13" s="1">
        <f>C13*COS(RADIANS(E13))*COS(RADIANS(D13-180))</f>
        <v/>
      </c>
      <c r="K13" s="1">
        <f>SUM(K12+G13)</f>
        <v/>
      </c>
      <c r="L13" s="1">
        <f>SUM(L12+H13)</f>
        <v/>
      </c>
      <c r="M13" s="1">
        <f>SUM(M12+I13)</f>
        <v/>
      </c>
      <c r="N13" s="1">
        <f>SUM(J13+N12)</f>
        <v/>
      </c>
      <c r="O13" s="2">
        <f>ROUND(SUM(O12+F13),1)</f>
        <v/>
      </c>
      <c r="P13" t="inlineStr">
        <is>
          <t>domiar</t>
        </is>
      </c>
    </row>
    <row r="14">
      <c r="A14" s="3" t="n"/>
      <c r="B14" s="3" t="n"/>
      <c r="C14" s="1" t="n"/>
      <c r="D14" s="4" t="n"/>
      <c r="E14" s="4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" t="n"/>
    </row>
    <row r="15">
      <c r="A15" s="3" t="n"/>
      <c r="B15" s="3" t="inlineStr">
        <is>
          <t>2</t>
        </is>
      </c>
      <c r="C15" s="1" t="n"/>
      <c r="D15" s="4" t="n"/>
      <c r="E15" s="4" t="n"/>
      <c r="F15" s="1" t="n"/>
      <c r="G15" s="1" t="n"/>
      <c r="H15" s="1" t="n"/>
      <c r="I15" s="1" t="n"/>
      <c r="J15" s="1" t="n"/>
      <c r="K15" s="1" t="n">
        <v>6.40334391092826</v>
      </c>
      <c r="L15" s="1" t="n">
        <v>-2.777749714339017</v>
      </c>
      <c r="M15" s="1" t="n">
        <v>0.1771814433100783</v>
      </c>
      <c r="N15" s="1">
        <f>SUM(J15+N14)</f>
        <v/>
      </c>
      <c r="O15" s="2">
        <f>ROUND(SUM(O14+F15),1)</f>
        <v/>
      </c>
    </row>
    <row r="16">
      <c r="A16" s="3" t="inlineStr">
        <is>
          <t>2</t>
        </is>
      </c>
      <c r="B16" s="3" t="inlineStr">
        <is>
          <t>2.1</t>
        </is>
      </c>
      <c r="C16" s="1" t="n">
        <v>5</v>
      </c>
      <c r="D16" s="4" t="n">
        <v>27</v>
      </c>
      <c r="E16" s="4" t="n">
        <v>0</v>
      </c>
      <c r="F16" s="1">
        <f>C16*COS(RADIANS(E16))</f>
        <v/>
      </c>
      <c r="G16" s="1">
        <f>C16*COS(RADIANS(E16)) *SIN(RADIANS(D16))</f>
        <v/>
      </c>
      <c r="H16" s="1">
        <f>C16*COS(RADIANS(E16))*COS(RADIANS(D16))</f>
        <v/>
      </c>
      <c r="I16" s="1">
        <f>C16*SIN(RADIANS(E16))</f>
        <v/>
      </c>
      <c r="J16" s="1">
        <f>C16*COS(RADIANS(E16))*COS(RADIANS(D16-180))</f>
        <v/>
      </c>
      <c r="K16" s="1">
        <f>SUM(K15+G16)</f>
        <v/>
      </c>
      <c r="L16" s="1">
        <f>SUM(L15+H16)</f>
        <v/>
      </c>
      <c r="M16" s="1">
        <f>SUM(M15+I16)</f>
        <v/>
      </c>
      <c r="N16" s="1">
        <f>SUM(J16+N15)</f>
        <v/>
      </c>
      <c r="O16" s="2">
        <f>ROUND(SUM(O15+F16),1)</f>
        <v/>
      </c>
    </row>
    <row r="17">
      <c r="A17" s="3" t="inlineStr">
        <is>
          <t>2.1</t>
        </is>
      </c>
      <c r="B17" s="3" t="inlineStr">
        <is>
          <t>2.2</t>
        </is>
      </c>
      <c r="C17" s="1" t="n">
        <v>2.8</v>
      </c>
      <c r="D17" s="4" t="n">
        <v>38</v>
      </c>
      <c r="E17" s="4" t="n">
        <v>0</v>
      </c>
      <c r="F17" s="1">
        <f>C17*COS(RADIANS(E17))</f>
        <v/>
      </c>
      <c r="G17" s="1">
        <f>C17*COS(RADIANS(E17)) *SIN(RADIANS(D17))</f>
        <v/>
      </c>
      <c r="H17" s="1">
        <f>C17*COS(RADIANS(E17))*COS(RADIANS(D17))</f>
        <v/>
      </c>
      <c r="I17" s="1">
        <f>C17*SIN(RADIANS(E17))</f>
        <v/>
      </c>
      <c r="J17" s="1">
        <f>C17*COS(RADIANS(E17))*COS(RADIANS(D17-180))</f>
        <v/>
      </c>
      <c r="K17" s="1">
        <f>SUM(K16+G17)</f>
        <v/>
      </c>
      <c r="L17" s="1">
        <f>SUM(L16+H17)</f>
        <v/>
      </c>
      <c r="M17" s="1">
        <f>SUM(M16+I17)</f>
        <v/>
      </c>
      <c r="N17" s="1">
        <f>SUM(J17+N16)</f>
        <v/>
      </c>
      <c r="O17" s="2">
        <f>ROUND(SUM(O16+F17),1)</f>
        <v/>
      </c>
    </row>
    <row r="18">
      <c r="A18" s="3" t="n"/>
      <c r="B18" s="3" t="n"/>
      <c r="C18" s="1" t="n"/>
      <c r="D18" s="4" t="n"/>
      <c r="E18" s="4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</row>
    <row r="19">
      <c r="A19" s="3" t="n"/>
      <c r="B19" s="3" t="inlineStr">
        <is>
          <t>3</t>
        </is>
      </c>
      <c r="C19" s="1" t="n"/>
      <c r="D19" s="4" t="n"/>
      <c r="E19" s="4" t="n"/>
      <c r="F19" s="1" t="n"/>
      <c r="G19" s="1" t="n"/>
      <c r="H19" s="1" t="n"/>
      <c r="I19" s="1" t="n"/>
      <c r="J19" s="1" t="n"/>
      <c r="K19" s="1" t="n">
        <v>8.470667676657259</v>
      </c>
      <c r="L19" s="1" t="n">
        <v>-3.530194029655489</v>
      </c>
      <c r="M19" s="1" t="n">
        <v>0.1771814433100783</v>
      </c>
      <c r="N19" s="1">
        <f>SUM(J19+N18)</f>
        <v/>
      </c>
      <c r="O19" s="2">
        <f>ROUND(SUM(O18+F19),1)</f>
        <v/>
      </c>
    </row>
    <row r="20">
      <c r="A20" s="3" t="inlineStr">
        <is>
          <t>3</t>
        </is>
      </c>
      <c r="B20" s="3" t="inlineStr">
        <is>
          <t>3.1</t>
        </is>
      </c>
      <c r="C20" s="1" t="n">
        <v>1.7</v>
      </c>
      <c r="D20" s="4" t="n">
        <v>45</v>
      </c>
      <c r="E20" s="4" t="n">
        <v>0</v>
      </c>
      <c r="F20" s="1">
        <f>C20*COS(RADIANS(E20))</f>
        <v/>
      </c>
      <c r="G20" s="1">
        <f>C20*COS(RADIANS(E20)) *SIN(RADIANS(D20))</f>
        <v/>
      </c>
      <c r="H20" s="1">
        <f>C20*COS(RADIANS(E20))*COS(RADIANS(D20))</f>
        <v/>
      </c>
      <c r="I20" s="1">
        <f>C20*SIN(RADIANS(E20))</f>
        <v/>
      </c>
      <c r="J20" s="1">
        <f>C20*COS(RADIANS(E20))*COS(RADIANS(D20-180))</f>
        <v/>
      </c>
      <c r="K20" s="1">
        <f>SUM(K19+G20)</f>
        <v/>
      </c>
      <c r="L20" s="1">
        <f>SUM(L19+H20)</f>
        <v/>
      </c>
      <c r="M20" s="1">
        <f>SUM(M19+I20)</f>
        <v/>
      </c>
      <c r="N20" s="1">
        <f>SUM(J20+N19)</f>
        <v/>
      </c>
      <c r="O20" s="2">
        <f>ROUND(SUM(O19+F20),1)</f>
        <v/>
      </c>
    </row>
    <row r="21">
      <c r="A21" s="3" t="inlineStr">
        <is>
          <t>3.1</t>
        </is>
      </c>
      <c r="B21" s="3" t="inlineStr">
        <is>
          <t>3.2</t>
        </is>
      </c>
      <c r="C21" s="1" t="n">
        <v>3.4</v>
      </c>
      <c r="D21" s="4" t="n">
        <v>30</v>
      </c>
      <c r="E21" s="4" t="n">
        <v>0</v>
      </c>
      <c r="F21" s="1">
        <f>C21*COS(RADIANS(E21))</f>
        <v/>
      </c>
      <c r="G21" s="1">
        <f>C21*COS(RADIANS(E21)) *SIN(RADIANS(D21))</f>
        <v/>
      </c>
      <c r="H21" s="1">
        <f>C21*COS(RADIANS(E21))*COS(RADIANS(D21))</f>
        <v/>
      </c>
      <c r="I21" s="1">
        <f>C21*SIN(RADIANS(E21))</f>
        <v/>
      </c>
      <c r="J21" s="1">
        <f>C21*COS(RADIANS(E21))*COS(RADIANS(D21-180))</f>
        <v/>
      </c>
      <c r="K21" s="1">
        <f>SUM(K20+G21)</f>
        <v/>
      </c>
      <c r="L21" s="1">
        <f>SUM(L20+H21)</f>
        <v/>
      </c>
      <c r="M21" s="1">
        <f>SUM(M20+I21)</f>
        <v/>
      </c>
      <c r="N21" s="1">
        <f>SUM(J21+N20)</f>
        <v/>
      </c>
      <c r="O21" s="2">
        <f>ROUND(SUM(O20+F21),1)</f>
        <v/>
      </c>
    </row>
    <row r="22">
      <c r="A22" s="3" t="n"/>
      <c r="B22" s="3" t="n"/>
      <c r="C22" s="1" t="n"/>
      <c r="D22" s="4" t="n"/>
      <c r="E22" s="4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inlineStr">
        <is>
          <t>3.1</t>
        </is>
      </c>
      <c r="C23" s="1" t="n"/>
      <c r="D23" s="4" t="n"/>
      <c r="E23" s="4" t="n"/>
      <c r="F23" s="1" t="n"/>
      <c r="G23" s="1" t="n"/>
      <c r="H23" s="1" t="n"/>
      <c r="I23" s="1" t="n"/>
      <c r="J23" s="1" t="n"/>
      <c r="K23" s="1" t="n">
        <v>9.672749204674389</v>
      </c>
      <c r="L23" s="1" t="n">
        <v>-2.328112501638357</v>
      </c>
      <c r="M23" s="1" t="n">
        <v>0.1771814433100783</v>
      </c>
      <c r="N23" s="1">
        <f>SUM(J23+N22)</f>
        <v/>
      </c>
      <c r="O23" s="2">
        <f>ROUND(SUM(O22+F23),1)</f>
        <v/>
      </c>
    </row>
    <row r="24">
      <c r="A24" s="3" t="inlineStr">
        <is>
          <t>3.1</t>
        </is>
      </c>
      <c r="B24" s="3" t="inlineStr">
        <is>
          <t>3.1.1</t>
        </is>
      </c>
      <c r="C24" s="1" t="n">
        <v>2.2</v>
      </c>
      <c r="D24" s="4" t="n">
        <v>50</v>
      </c>
      <c r="E24" s="4" t="n">
        <v>0</v>
      </c>
      <c r="F24" s="1">
        <f>C24*COS(RADIANS(E24))</f>
        <v/>
      </c>
      <c r="G24" s="1">
        <f>C24*COS(RADIANS(E24)) *SIN(RADIANS(D24))</f>
        <v/>
      </c>
      <c r="H24" s="1">
        <f>C24*COS(RADIANS(E24))*COS(RADIANS(D24))</f>
        <v/>
      </c>
      <c r="I24" s="1">
        <f>C24*SIN(RADIANS(E24))</f>
        <v/>
      </c>
      <c r="J24" s="1">
        <f>C24*COS(RADIANS(E24))*COS(RADIANS(D24-180))</f>
        <v/>
      </c>
      <c r="K24" s="1">
        <f>SUM(K23+G24)</f>
        <v/>
      </c>
      <c r="L24" s="1">
        <f>SUM(L23+H24)</f>
        <v/>
      </c>
      <c r="M24" s="1">
        <f>SUM(M23+I24)</f>
        <v/>
      </c>
      <c r="N24" s="1">
        <f>SUM(J24+N23)</f>
        <v/>
      </c>
      <c r="O24" s="2">
        <f>ROUND(SUM(O23+F24),1)</f>
        <v/>
      </c>
    </row>
    <row r="25">
      <c r="A25" s="3" t="n"/>
      <c r="B25" s="3" t="n"/>
      <c r="C25" s="1" t="n"/>
      <c r="D25" s="4" t="n"/>
      <c r="E25" s="4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inlineStr">
        <is>
          <t>4</t>
        </is>
      </c>
      <c r="C26" s="1" t="n"/>
      <c r="D26" s="4" t="n"/>
      <c r="E26" s="4" t="n"/>
      <c r="F26" s="1" t="n"/>
      <c r="G26" s="1" t="n"/>
      <c r="H26" s="1" t="n"/>
      <c r="I26" s="1" t="n"/>
      <c r="J26" s="1" t="n"/>
      <c r="K26" s="1" t="n">
        <v>10.30592674660649</v>
      </c>
      <c r="L26" s="1" t="n">
        <v>-4.021950215350278</v>
      </c>
      <c r="M26" s="1" t="n">
        <v>0.1771814433100783</v>
      </c>
      <c r="N26" s="1">
        <f>SUM(J26+N25)</f>
        <v/>
      </c>
      <c r="O26" s="2">
        <f>ROUND(SUM(O25+F26),1)</f>
        <v/>
      </c>
    </row>
    <row r="27">
      <c r="A27" s="3" t="inlineStr">
        <is>
          <t>4</t>
        </is>
      </c>
      <c r="B27" s="3" t="inlineStr">
        <is>
          <t>4.1</t>
        </is>
      </c>
      <c r="C27" s="1" t="n">
        <v>2.9</v>
      </c>
      <c r="D27" s="4" t="n">
        <v>40</v>
      </c>
      <c r="E27" s="4" t="n">
        <v>0</v>
      </c>
      <c r="F27" s="1">
        <f>C27*COS(RADIANS(E27))</f>
        <v/>
      </c>
      <c r="G27" s="1">
        <f>C27*COS(RADIANS(E27)) *SIN(RADIANS(D27))</f>
        <v/>
      </c>
      <c r="H27" s="1">
        <f>C27*COS(RADIANS(E27))*COS(RADIANS(D27))</f>
        <v/>
      </c>
      <c r="I27" s="1">
        <f>C27*SIN(RADIANS(E27))</f>
        <v/>
      </c>
      <c r="J27" s="1">
        <f>C27*COS(RADIANS(E27))*COS(RADIANS(D27-180))</f>
        <v/>
      </c>
      <c r="K27" s="1">
        <f>SUM(K26+G27)</f>
        <v/>
      </c>
      <c r="L27" s="1">
        <f>SUM(L26+H27)</f>
        <v/>
      </c>
      <c r="M27" s="1">
        <f>SUM(M26+I27)</f>
        <v/>
      </c>
      <c r="N27" s="1">
        <f>SUM(J27+N26)</f>
        <v/>
      </c>
      <c r="O27" s="2">
        <f>ROUND(SUM(O26+F27),1)</f>
        <v/>
      </c>
      <c r="P27" t="inlineStr">
        <is>
          <t>domiar</t>
        </is>
      </c>
    </row>
    <row r="28">
      <c r="A28" s="3" t="n"/>
      <c r="B28" s="3" t="n"/>
      <c r="C28" s="1" t="n"/>
      <c r="D28" s="4" t="n"/>
      <c r="E28" s="4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inlineStr">
        <is>
          <t>5</t>
        </is>
      </c>
      <c r="C29" s="1" t="n"/>
      <c r="D29" s="4" t="n"/>
      <c r="E29" s="4" t="n"/>
      <c r="F29" s="1" t="n"/>
      <c r="G29" s="1" t="n"/>
      <c r="H29" s="1" t="n"/>
      <c r="I29" s="1" t="n"/>
      <c r="J29" s="1" t="n"/>
      <c r="K29" s="1" t="n">
        <v>11.08835587204106</v>
      </c>
      <c r="L29" s="1" t="n">
        <v>-4.354071674566161</v>
      </c>
      <c r="M29" s="1" t="n">
        <v>0.1771814433100783</v>
      </c>
      <c r="N29" s="1">
        <f>SUM(J29+N28)</f>
        <v/>
      </c>
      <c r="O29" s="2">
        <f>ROUND(SUM(O28+F29),1)</f>
        <v/>
      </c>
    </row>
    <row r="30">
      <c r="A30" s="3" t="inlineStr">
        <is>
          <t>5</t>
        </is>
      </c>
      <c r="B30" s="3" t="inlineStr">
        <is>
          <t>5.1</t>
        </is>
      </c>
      <c r="C30" s="1" t="n">
        <v>5.5</v>
      </c>
      <c r="D30" s="4" t="n">
        <v>37</v>
      </c>
      <c r="E30" s="4" t="n">
        <v>0</v>
      </c>
      <c r="F30" s="1">
        <f>C30*COS(RADIANS(E30))</f>
        <v/>
      </c>
      <c r="G30" s="1">
        <f>C30*COS(RADIANS(E30)) *SIN(RADIANS(D30))</f>
        <v/>
      </c>
      <c r="H30" s="1">
        <f>C30*COS(RADIANS(E30))*COS(RADIANS(D30))</f>
        <v/>
      </c>
      <c r="I30" s="1">
        <f>C30*SIN(RADIANS(E30))</f>
        <v/>
      </c>
      <c r="J30" s="1">
        <f>C30*COS(RADIANS(E30))*COS(RADIANS(D30-180))</f>
        <v/>
      </c>
      <c r="K30" s="1">
        <f>SUM(K29+G30)</f>
        <v/>
      </c>
      <c r="L30" s="1">
        <f>SUM(L29+H30)</f>
        <v/>
      </c>
      <c r="M30" s="1">
        <f>SUM(M29+I30)</f>
        <v/>
      </c>
      <c r="N30" s="1">
        <f>SUM(J30+N29)</f>
        <v/>
      </c>
      <c r="O30" s="2">
        <f>ROUND(SUM(O29+F30),1)</f>
        <v/>
      </c>
    </row>
    <row r="31">
      <c r="A31" s="3" t="n"/>
      <c r="B31" s="3" t="n"/>
      <c r="C31" s="1" t="n"/>
      <c r="D31" s="4" t="n"/>
      <c r="E31" s="4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inlineStr">
        <is>
          <t>7</t>
        </is>
      </c>
      <c r="C32" s="1" t="n"/>
      <c r="D32" s="4" t="n"/>
      <c r="E32" s="4" t="n"/>
      <c r="F32" s="1" t="n"/>
      <c r="G32" s="1" t="n"/>
      <c r="H32" s="1" t="n"/>
      <c r="I32" s="1" t="n"/>
      <c r="J32" s="1" t="n"/>
      <c r="K32" s="1" t="n">
        <v>13.20627687193305</v>
      </c>
      <c r="L32" s="1" t="n">
        <v>-5.998278506918746</v>
      </c>
      <c r="M32" s="1" t="n">
        <v>0.1771814433100783</v>
      </c>
      <c r="N32" s="1">
        <f>SUM(J32+N31)</f>
        <v/>
      </c>
      <c r="O32" s="2">
        <f>ROUND(SUM(O31+F32),1)</f>
        <v/>
      </c>
    </row>
    <row r="33">
      <c r="A33" s="3" t="inlineStr">
        <is>
          <t>7</t>
        </is>
      </c>
      <c r="B33" s="3" t="inlineStr">
        <is>
          <t>7.1</t>
        </is>
      </c>
      <c r="C33" s="1" t="n">
        <v>7.1</v>
      </c>
      <c r="D33" s="4" t="n">
        <v>38</v>
      </c>
      <c r="E33" s="4" t="n">
        <v>3</v>
      </c>
      <c r="F33" s="1">
        <f>C33*COS(RADIANS(E33))</f>
        <v/>
      </c>
      <c r="G33" s="1">
        <f>C33*COS(RADIANS(E33)) *SIN(RADIANS(D33))</f>
        <v/>
      </c>
      <c r="H33" s="1">
        <f>C33*COS(RADIANS(E33))*COS(RADIANS(D33))</f>
        <v/>
      </c>
      <c r="I33" s="1">
        <f>C33*SIN(RADIANS(E33))</f>
        <v/>
      </c>
      <c r="J33" s="1">
        <f>C33*COS(RADIANS(E33))*COS(RADIANS(D33-180))</f>
        <v/>
      </c>
      <c r="K33" s="1">
        <f>SUM(K32+G33)</f>
        <v/>
      </c>
      <c r="L33" s="1">
        <f>SUM(L32+H33)</f>
        <v/>
      </c>
      <c r="M33" s="1">
        <f>SUM(M32+I33)</f>
        <v/>
      </c>
      <c r="N33" s="1">
        <f>SUM(J33+N32)</f>
        <v/>
      </c>
      <c r="O33" s="2">
        <f>ROUND(SUM(O32+F33),1)</f>
        <v/>
      </c>
    </row>
    <row r="34">
      <c r="A34" s="3" t="n"/>
      <c r="B34" s="3" t="n"/>
      <c r="C34" s="1" t="n"/>
      <c r="D34" s="4" t="n"/>
      <c r="E34" s="4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inlineStr">
        <is>
          <t>7</t>
        </is>
      </c>
      <c r="C35" s="1" t="n"/>
      <c r="D35" s="4" t="n"/>
      <c r="E35" s="4" t="n"/>
      <c r="F35" s="1" t="n"/>
      <c r="G35" s="1" t="n"/>
      <c r="H35" s="1" t="n"/>
      <c r="I35" s="1" t="n"/>
      <c r="J35" s="1" t="n"/>
      <c r="K35" s="1" t="n">
        <v>13.20627687193305</v>
      </c>
      <c r="L35" s="1" t="n">
        <v>-5.998278506918746</v>
      </c>
      <c r="M35" s="1" t="n">
        <v>0.1771814433100783</v>
      </c>
      <c r="N35" s="1">
        <f>SUM(J35+N34)</f>
        <v/>
      </c>
      <c r="O35" s="2">
        <f>ROUND(SUM(O34+F35),1)</f>
        <v/>
      </c>
    </row>
    <row r="36">
      <c r="A36" s="3" t="inlineStr">
        <is>
          <t>7</t>
        </is>
      </c>
      <c r="B36" s="3" t="inlineStr">
        <is>
          <t>7.11</t>
        </is>
      </c>
      <c r="C36" s="1" t="n">
        <v>2.5</v>
      </c>
      <c r="D36" s="4" t="n">
        <v>198</v>
      </c>
      <c r="E36" s="4" t="n">
        <v>25</v>
      </c>
      <c r="F36" s="1">
        <f>C36*COS(RADIANS(E36))</f>
        <v/>
      </c>
      <c r="G36" s="1">
        <f>C36*COS(RADIANS(E36)) *SIN(RADIANS(D36))</f>
        <v/>
      </c>
      <c r="H36" s="1">
        <f>C36*COS(RADIANS(E36))*COS(RADIANS(D36))</f>
        <v/>
      </c>
      <c r="I36" s="1">
        <f>C36*SIN(RADIANS(E36))</f>
        <v/>
      </c>
      <c r="J36" s="1">
        <f>C36*COS(RADIANS(E36))*COS(RADIANS(D36-180))</f>
        <v/>
      </c>
      <c r="K36" s="1">
        <f>SUM(K35+G36)</f>
        <v/>
      </c>
      <c r="L36" s="1">
        <f>SUM(L35+H36)</f>
        <v/>
      </c>
      <c r="M36" s="1">
        <f>SUM(M35+I36)</f>
        <v/>
      </c>
      <c r="N36" s="1">
        <f>SUM(J36+N35)</f>
        <v/>
      </c>
      <c r="O36" s="2">
        <f>ROUND(SUM(O35+F36),1)</f>
        <v/>
      </c>
    </row>
    <row r="37">
      <c r="A37" s="3" t="inlineStr">
        <is>
          <t>7.11</t>
        </is>
      </c>
      <c r="B37" s="3" t="inlineStr">
        <is>
          <t>7.12</t>
        </is>
      </c>
      <c r="C37" s="1" t="n">
        <v>2.8</v>
      </c>
      <c r="D37" s="4" t="n">
        <v>195</v>
      </c>
      <c r="E37" s="4" t="n">
        <v>-10</v>
      </c>
      <c r="F37" s="1">
        <f>C37*COS(RADIANS(E37))</f>
        <v/>
      </c>
      <c r="G37" s="1">
        <f>C37*COS(RADIANS(E37)) *SIN(RADIANS(D37))</f>
        <v/>
      </c>
      <c r="H37" s="1">
        <f>C37*COS(RADIANS(E37))*COS(RADIANS(D37))</f>
        <v/>
      </c>
      <c r="I37" s="1">
        <f>C37*SIN(RADIANS(E37))</f>
        <v/>
      </c>
      <c r="J37" s="1">
        <f>C37*COS(RADIANS(E37))*COS(RADIANS(D37-180))</f>
        <v/>
      </c>
      <c r="K37" s="1">
        <f>SUM(K36+G37)</f>
        <v/>
      </c>
      <c r="L37" s="1">
        <f>SUM(L36+H37)</f>
        <v/>
      </c>
      <c r="M37" s="1">
        <f>SUM(M36+I37)</f>
        <v/>
      </c>
      <c r="N37" s="1">
        <f>SUM(J37+N36)</f>
        <v/>
      </c>
      <c r="O37" s="2">
        <f>ROUND(SUM(O36+F37),1)</f>
        <v/>
      </c>
    </row>
    <row r="38">
      <c r="A38" s="3" t="n"/>
      <c r="B38" s="3" t="n"/>
      <c r="C38" s="1" t="n"/>
      <c r="D38" s="4" t="n"/>
      <c r="E38" s="4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inlineStr">
        <is>
          <t>6</t>
        </is>
      </c>
      <c r="C39" s="1" t="n"/>
      <c r="D39" s="4" t="n"/>
      <c r="E39" s="4" t="n"/>
      <c r="F39" s="1" t="n"/>
      <c r="G39" s="1" t="n"/>
      <c r="H39" s="1" t="n"/>
      <c r="I39" s="1" t="n"/>
      <c r="J39" s="1" t="n"/>
      <c r="K39" s="1" t="n">
        <v>12.33165716479365</v>
      </c>
      <c r="L39" s="1" t="n">
        <v>-5.513468886672409</v>
      </c>
      <c r="M39" s="1" t="n">
        <v>0.1771814433100783</v>
      </c>
      <c r="N39" s="1">
        <f>SUM(J39+N38)</f>
        <v/>
      </c>
      <c r="O39" s="2">
        <f>ROUND(SUM(O38+F39),1)</f>
        <v/>
      </c>
    </row>
    <row r="40">
      <c r="A40" s="3" t="inlineStr">
        <is>
          <t>6</t>
        </is>
      </c>
      <c r="B40" s="3" t="inlineStr">
        <is>
          <t>5.11</t>
        </is>
      </c>
      <c r="C40" s="1" t="n">
        <v>3.35</v>
      </c>
      <c r="D40" s="4" t="n">
        <v>234</v>
      </c>
      <c r="E40" s="4" t="n">
        <v>0</v>
      </c>
      <c r="F40" s="1">
        <f>C40*COS(RADIANS(E40))</f>
        <v/>
      </c>
      <c r="G40" s="1">
        <f>C40*COS(RADIANS(E40)) *SIN(RADIANS(D40))</f>
        <v/>
      </c>
      <c r="H40" s="1">
        <f>C40*COS(RADIANS(E40))*COS(RADIANS(D40))</f>
        <v/>
      </c>
      <c r="I40" s="1">
        <f>C40*SIN(RADIANS(E40))</f>
        <v/>
      </c>
      <c r="J40" s="1">
        <f>C40*COS(RADIANS(E40))*COS(RADIANS(D40-180))</f>
        <v/>
      </c>
      <c r="K40" s="1">
        <f>SUM(K39+G40)</f>
        <v/>
      </c>
      <c r="L40" s="1">
        <f>SUM(L39+H40)</f>
        <v/>
      </c>
      <c r="M40" s="1">
        <f>SUM(M39+I40)</f>
        <v/>
      </c>
      <c r="N40" s="1">
        <f>SUM(J40+N39)</f>
        <v/>
      </c>
      <c r="O40" s="2">
        <f>ROUND(SUM(O39+F40),1)</f>
        <v/>
      </c>
    </row>
    <row r="41">
      <c r="A41" s="3" t="n"/>
      <c r="B41" s="3" t="n"/>
      <c r="C41" s="1" t="n"/>
      <c r="D41" s="4" t="n"/>
      <c r="E41" s="4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inlineStr">
        <is>
          <t>5</t>
        </is>
      </c>
      <c r="C42" s="1" t="n"/>
      <c r="D42" s="4" t="n"/>
      <c r="E42" s="4" t="n"/>
      <c r="F42" s="1" t="n"/>
      <c r="G42" s="1" t="n"/>
      <c r="H42" s="1" t="n"/>
      <c r="I42" s="1" t="n"/>
      <c r="J42" s="1" t="n"/>
      <c r="K42" s="1" t="n">
        <v>11.08835587204106</v>
      </c>
      <c r="L42" s="1" t="n">
        <v>-4.354071674566161</v>
      </c>
      <c r="M42" s="1" t="n">
        <v>0.1771814433100783</v>
      </c>
      <c r="N42" s="1">
        <f>SUM(J42+N41)</f>
        <v/>
      </c>
      <c r="O42" s="2">
        <f>ROUND(SUM(O41+F42),1)</f>
        <v/>
      </c>
    </row>
    <row r="43">
      <c r="A43" s="3" t="inlineStr">
        <is>
          <t>5</t>
        </is>
      </c>
      <c r="B43" s="3" t="inlineStr">
        <is>
          <t>5.11</t>
        </is>
      </c>
      <c r="C43" s="1" t="n">
        <v>3.55</v>
      </c>
      <c r="D43" s="4" t="n">
        <v>204</v>
      </c>
      <c r="E43" s="4" t="n">
        <v>0</v>
      </c>
      <c r="F43" s="1">
        <f>C43*COS(RADIANS(E43))</f>
        <v/>
      </c>
      <c r="G43" s="1">
        <f>C43*COS(RADIANS(E43)) *SIN(RADIANS(D43))</f>
        <v/>
      </c>
      <c r="H43" s="1">
        <f>C43*COS(RADIANS(E43))*COS(RADIANS(D43))</f>
        <v/>
      </c>
      <c r="I43" s="1">
        <f>C43*SIN(RADIANS(E43))</f>
        <v/>
      </c>
      <c r="J43" s="1">
        <f>C43*COS(RADIANS(E43))*COS(RADIANS(D43-180))</f>
        <v/>
      </c>
      <c r="K43" s="1">
        <f>SUM(K42+G43)</f>
        <v/>
      </c>
      <c r="L43" s="1">
        <f>SUM(L42+H43)</f>
        <v/>
      </c>
      <c r="M43" s="1">
        <f>SUM(M42+I43)</f>
        <v/>
      </c>
      <c r="N43" s="1">
        <f>SUM(J43+N42)</f>
        <v/>
      </c>
      <c r="O43" s="2">
        <f>ROUND(SUM(O42+F43),1)</f>
        <v/>
      </c>
    </row>
    <row r="44">
      <c r="A44" s="3" t="inlineStr">
        <is>
          <t>5.11</t>
        </is>
      </c>
      <c r="B44" s="3" t="inlineStr">
        <is>
          <t>5.12</t>
        </is>
      </c>
      <c r="C44" s="1" t="n">
        <v>3</v>
      </c>
      <c r="D44" s="4" t="n">
        <v>225</v>
      </c>
      <c r="E44" s="4" t="n">
        <v>10</v>
      </c>
      <c r="F44" s="1">
        <f>C44*COS(RADIANS(E44))</f>
        <v/>
      </c>
      <c r="G44" s="1">
        <f>C44*COS(RADIANS(E44)) *SIN(RADIANS(D44))</f>
        <v/>
      </c>
      <c r="H44" s="1">
        <f>C44*COS(RADIANS(E44))*COS(RADIANS(D44))</f>
        <v/>
      </c>
      <c r="I44" s="1">
        <f>C44*SIN(RADIANS(E44))</f>
        <v/>
      </c>
      <c r="J44" s="1">
        <f>C44*COS(RADIANS(E44))*COS(RADIANS(D44-180))</f>
        <v/>
      </c>
      <c r="K44" s="1">
        <f>SUM(K43+G44)</f>
        <v/>
      </c>
      <c r="L44" s="1">
        <f>SUM(L43+H44)</f>
        <v/>
      </c>
      <c r="M44" s="1">
        <f>SUM(M43+I44)</f>
        <v/>
      </c>
      <c r="N44" s="1">
        <f>SUM(J44+N43)</f>
        <v/>
      </c>
      <c r="O44" s="2">
        <f>ROUND(SUM(O43+F44),1)</f>
        <v/>
      </c>
    </row>
    <row r="45">
      <c r="A45" s="3" t="inlineStr">
        <is>
          <t>5.12</t>
        </is>
      </c>
      <c r="B45" s="3" t="inlineStr">
        <is>
          <t>5.13</t>
        </is>
      </c>
      <c r="C45" s="1" t="n">
        <v>3</v>
      </c>
      <c r="D45" s="4" t="n">
        <v>205</v>
      </c>
      <c r="E45" s="4" t="n">
        <v>0</v>
      </c>
      <c r="F45" s="1">
        <f>C45*COS(RADIANS(E45))</f>
        <v/>
      </c>
      <c r="G45" s="1">
        <f>C45*COS(RADIANS(E45)) *SIN(RADIANS(D45))</f>
        <v/>
      </c>
      <c r="H45" s="1">
        <f>C45*COS(RADIANS(E45))*COS(RADIANS(D45))</f>
        <v/>
      </c>
      <c r="I45" s="1">
        <f>C45*SIN(RADIANS(E45))</f>
        <v/>
      </c>
      <c r="J45" s="1">
        <f>C45*COS(RADIANS(E45))*COS(RADIANS(D45-180))</f>
        <v/>
      </c>
      <c r="K45" s="1">
        <f>SUM(K44+G45)</f>
        <v/>
      </c>
      <c r="L45" s="1">
        <f>SUM(L44+H45)</f>
        <v/>
      </c>
      <c r="M45" s="1">
        <f>SUM(M44+I45)</f>
        <v/>
      </c>
      <c r="N45" s="1">
        <f>SUM(J45+N44)</f>
        <v/>
      </c>
      <c r="O45" s="2">
        <f>ROUND(SUM(O44+F45),1)</f>
        <v/>
      </c>
    </row>
    <row r="46">
      <c r="A46" s="3" t="inlineStr">
        <is>
          <t>5.13</t>
        </is>
      </c>
      <c r="B46" s="3" t="inlineStr">
        <is>
          <t>5.14</t>
        </is>
      </c>
      <c r="C46" s="1" t="n">
        <v>2.4</v>
      </c>
      <c r="D46" s="4" t="n">
        <v>235</v>
      </c>
      <c r="E46" s="4" t="n">
        <v>0</v>
      </c>
      <c r="F46" s="1">
        <f>C46*COS(RADIANS(E46))</f>
        <v/>
      </c>
      <c r="G46" s="1">
        <f>C46*COS(RADIANS(E46)) *SIN(RADIANS(D46))</f>
        <v/>
      </c>
      <c r="H46" s="1">
        <f>C46*COS(RADIANS(E46))*COS(RADIANS(D46))</f>
        <v/>
      </c>
      <c r="I46" s="1">
        <f>C46*SIN(RADIANS(E46))</f>
        <v/>
      </c>
      <c r="J46" s="1">
        <f>C46*COS(RADIANS(E46))*COS(RADIANS(D46-180))</f>
        <v/>
      </c>
      <c r="K46" s="1">
        <f>SUM(K45+G46)</f>
        <v/>
      </c>
      <c r="L46" s="1">
        <f>SUM(L45+H46)</f>
        <v/>
      </c>
      <c r="M46" s="1">
        <f>SUM(M45+I46)</f>
        <v/>
      </c>
      <c r="N46" s="1">
        <f>SUM(J46+N45)</f>
        <v/>
      </c>
      <c r="O46" s="2">
        <f>ROUND(SUM(O45+F46),1)</f>
        <v/>
      </c>
    </row>
    <row r="47">
      <c r="A47" s="3" t="inlineStr">
        <is>
          <t>5.14</t>
        </is>
      </c>
      <c r="B47" s="3" t="inlineStr">
        <is>
          <t>5.15</t>
        </is>
      </c>
      <c r="C47" s="1" t="n">
        <v>2.6</v>
      </c>
      <c r="D47" s="4" t="n">
        <v>182</v>
      </c>
      <c r="E47" s="4" t="n">
        <v>0</v>
      </c>
      <c r="F47" s="1">
        <f>C47*COS(RADIANS(E47))</f>
        <v/>
      </c>
      <c r="G47" s="1">
        <f>C47*COS(RADIANS(E47)) *SIN(RADIANS(D47))</f>
        <v/>
      </c>
      <c r="H47" s="1">
        <f>C47*COS(RADIANS(E47))*COS(RADIANS(D47))</f>
        <v/>
      </c>
      <c r="I47" s="1">
        <f>C47*SIN(RADIANS(E47))</f>
        <v/>
      </c>
      <c r="J47" s="1">
        <f>C47*COS(RADIANS(E47))*COS(RADIANS(D47-180))</f>
        <v/>
      </c>
      <c r="K47" s="1">
        <f>SUM(K46+G47)</f>
        <v/>
      </c>
      <c r="L47" s="1">
        <f>SUM(L46+H47)</f>
        <v/>
      </c>
      <c r="M47" s="1">
        <f>SUM(M46+I47)</f>
        <v/>
      </c>
      <c r="N47" s="1">
        <f>SUM(J47+N46)</f>
        <v/>
      </c>
      <c r="O47" s="2">
        <f>ROUND(SUM(O46+F47),1)</f>
        <v/>
      </c>
    </row>
    <row r="48">
      <c r="A48" s="3" t="inlineStr">
        <is>
          <t>5.15</t>
        </is>
      </c>
      <c r="B48" s="3" t="inlineStr">
        <is>
          <t>5.16</t>
        </is>
      </c>
      <c r="C48" s="1" t="n">
        <v>1.95</v>
      </c>
      <c r="D48" s="4" t="n">
        <v>146</v>
      </c>
      <c r="E48" s="4" t="n">
        <v>0</v>
      </c>
      <c r="F48" s="1">
        <f>C48*COS(RADIANS(E48))</f>
        <v/>
      </c>
      <c r="G48" s="1">
        <f>C48*COS(RADIANS(E48)) *SIN(RADIANS(D48))</f>
        <v/>
      </c>
      <c r="H48" s="1">
        <f>C48*COS(RADIANS(E48))*COS(RADIANS(D48))</f>
        <v/>
      </c>
      <c r="I48" s="1">
        <f>C48*SIN(RADIANS(E48))</f>
        <v/>
      </c>
      <c r="J48" s="1">
        <f>C48*COS(RADIANS(E48))*COS(RADIANS(D48-180))</f>
        <v/>
      </c>
      <c r="K48" s="1">
        <f>SUM(K47+G48)</f>
        <v/>
      </c>
      <c r="L48" s="1">
        <f>SUM(L47+H48)</f>
        <v/>
      </c>
      <c r="M48" s="1">
        <f>SUM(M47+I48)</f>
        <v/>
      </c>
      <c r="N48" s="1">
        <f>SUM(J48+N47)</f>
        <v/>
      </c>
      <c r="O48" s="2">
        <f>ROUND(SUM(O47+F48),1)</f>
        <v/>
      </c>
      <c r="S48" s="2" t="n"/>
    </row>
    <row r="49">
      <c r="A49" s="3" t="inlineStr">
        <is>
          <t>5.16</t>
        </is>
      </c>
      <c r="B49" s="3" t="inlineStr">
        <is>
          <t>5.17</t>
        </is>
      </c>
      <c r="C49" s="1" t="n">
        <v>1.87</v>
      </c>
      <c r="D49" s="4" t="n">
        <v>205</v>
      </c>
      <c r="E49" s="4" t="n">
        <v>22</v>
      </c>
      <c r="F49" s="1">
        <f>C49*COS(RADIANS(E49))</f>
        <v/>
      </c>
      <c r="G49" s="1">
        <f>C49*COS(RADIANS(E49)) *SIN(RADIANS(D49))</f>
        <v/>
      </c>
      <c r="H49" s="1">
        <f>C49*COS(RADIANS(E49))*COS(RADIANS(D49))</f>
        <v/>
      </c>
      <c r="I49" s="1">
        <f>C49*SIN(RADIANS(E49))</f>
        <v/>
      </c>
      <c r="J49" s="1">
        <f>C49*COS(RADIANS(E49))*COS(RADIANS(D49-180))</f>
        <v/>
      </c>
      <c r="K49" s="1">
        <f>SUM(K48+G49)</f>
        <v/>
      </c>
      <c r="L49" s="1">
        <f>SUM(L48+H49)</f>
        <v/>
      </c>
      <c r="M49" s="1">
        <f>SUM(M48+I49)</f>
        <v/>
      </c>
      <c r="N49" s="1">
        <f>SUM(J49+N48)</f>
        <v/>
      </c>
      <c r="O49" s="2">
        <f>ROUND(SUM(O48+F49),1)</f>
        <v/>
      </c>
    </row>
    <row r="50">
      <c r="A50" s="3" t="inlineStr">
        <is>
          <t>5.17</t>
        </is>
      </c>
      <c r="B50" s="3" t="inlineStr">
        <is>
          <t>5.18</t>
        </is>
      </c>
      <c r="C50" s="1" t="n">
        <v>3.5</v>
      </c>
      <c r="D50" s="4" t="n">
        <v>235</v>
      </c>
      <c r="E50" s="4" t="n">
        <v>-6</v>
      </c>
      <c r="F50" s="1">
        <f>C50*COS(RADIANS(E50))</f>
        <v/>
      </c>
      <c r="G50" s="1">
        <f>C50*COS(RADIANS(E50)) *SIN(RADIANS(D50))</f>
        <v/>
      </c>
      <c r="H50" s="1">
        <f>C50*COS(RADIANS(E50))*COS(RADIANS(D50))</f>
        <v/>
      </c>
      <c r="I50" s="1">
        <f>C50*SIN(RADIANS(E50))</f>
        <v/>
      </c>
      <c r="J50" s="1">
        <f>C50*COS(RADIANS(E50))*COS(RADIANS(D50-180))</f>
        <v/>
      </c>
      <c r="K50" s="1">
        <f>SUM(K49+G50)</f>
        <v/>
      </c>
      <c r="L50" s="1">
        <f>SUM(L49+H50)</f>
        <v/>
      </c>
      <c r="M50" s="1">
        <f>SUM(M49+I50)</f>
        <v/>
      </c>
      <c r="N50" s="1">
        <f>SUM(J50+N49)</f>
        <v/>
      </c>
      <c r="O50" s="2">
        <f>ROUND(SUM(O49+F50),1)</f>
        <v/>
      </c>
    </row>
    <row r="51">
      <c r="A51" s="3" t="inlineStr">
        <is>
          <t>5.18</t>
        </is>
      </c>
      <c r="B51" s="3" t="inlineStr">
        <is>
          <t>5.19</t>
        </is>
      </c>
      <c r="C51" s="1" t="n">
        <v>3.65</v>
      </c>
      <c r="D51" s="4" t="n">
        <v>210</v>
      </c>
      <c r="E51" s="4" t="n">
        <v>0</v>
      </c>
      <c r="F51" s="1">
        <f>C51*COS(RADIANS(E51))</f>
        <v/>
      </c>
      <c r="G51" s="1">
        <f>C51*COS(RADIANS(E51)) *SIN(RADIANS(D51))</f>
        <v/>
      </c>
      <c r="H51" s="1">
        <f>C51*COS(RADIANS(E51))*COS(RADIANS(D51))</f>
        <v/>
      </c>
      <c r="I51" s="1">
        <f>C51*SIN(RADIANS(E51))</f>
        <v/>
      </c>
      <c r="J51" s="1">
        <f>C51*COS(RADIANS(E51))*COS(RADIANS(D51-180))</f>
        <v/>
      </c>
      <c r="K51" s="1">
        <f>SUM(K50+G51)</f>
        <v/>
      </c>
      <c r="L51" s="1">
        <f>SUM(L50+H51)</f>
        <v/>
      </c>
      <c r="M51" s="1">
        <f>SUM(M50+I51)</f>
        <v/>
      </c>
      <c r="N51" s="1">
        <f>SUM(J51+N50)</f>
        <v/>
      </c>
      <c r="O51" s="2">
        <f>ROUND(SUM(O50+F51),1)</f>
        <v/>
      </c>
    </row>
    <row r="52">
      <c r="A52" s="3" t="inlineStr">
        <is>
          <t>5.19</t>
        </is>
      </c>
      <c r="B52" s="3" t="inlineStr">
        <is>
          <t>5.20</t>
        </is>
      </c>
      <c r="C52" s="1" t="n">
        <v>1</v>
      </c>
      <c r="D52" s="4" t="n">
        <v>248</v>
      </c>
      <c r="E52" s="4" t="n">
        <v>-5</v>
      </c>
      <c r="F52" s="1">
        <f>C52*COS(RADIANS(E52))</f>
        <v/>
      </c>
      <c r="G52" s="1">
        <f>C52*COS(RADIANS(E52)) *SIN(RADIANS(D52))</f>
        <v/>
      </c>
      <c r="H52" s="1">
        <f>C52*COS(RADIANS(E52))*COS(RADIANS(D52))</f>
        <v/>
      </c>
      <c r="I52" s="1">
        <f>C52*SIN(RADIANS(E52))</f>
        <v/>
      </c>
      <c r="J52" s="1">
        <f>C52*COS(RADIANS(E52))*COS(RADIANS(D52-180))</f>
        <v/>
      </c>
      <c r="K52" s="1">
        <f>SUM(K51+G52)</f>
        <v/>
      </c>
      <c r="L52" s="1">
        <f>SUM(L51+H52)</f>
        <v/>
      </c>
      <c r="M52" s="1">
        <f>SUM(M51+I52)</f>
        <v/>
      </c>
      <c r="N52" s="1">
        <f>SUM(J52+N51)</f>
        <v/>
      </c>
      <c r="O52" s="2">
        <f>ROUND(SUM(O51+F52),1)</f>
        <v/>
      </c>
    </row>
    <row r="53">
      <c r="A53" s="3" t="inlineStr">
        <is>
          <t>5.20</t>
        </is>
      </c>
      <c r="B53" s="3" t="inlineStr">
        <is>
          <t>5.21</t>
        </is>
      </c>
      <c r="C53" s="1" t="n">
        <v>2.5</v>
      </c>
      <c r="D53" s="4" t="n">
        <v>205</v>
      </c>
      <c r="E53" s="4" t="n">
        <v>10</v>
      </c>
      <c r="F53" s="1">
        <f>C53*COS(RADIANS(E53))</f>
        <v/>
      </c>
      <c r="G53" s="1">
        <f>C53*COS(RADIANS(E53)) *SIN(RADIANS(D53))</f>
        <v/>
      </c>
      <c r="H53" s="1">
        <f>C53*COS(RADIANS(E53))*COS(RADIANS(D53))</f>
        <v/>
      </c>
      <c r="I53" s="1">
        <f>C53*SIN(RADIANS(E53))</f>
        <v/>
      </c>
      <c r="J53" s="1">
        <f>C53*COS(RADIANS(E53))*COS(RADIANS(D53-180))</f>
        <v/>
      </c>
      <c r="K53" s="1">
        <f>SUM(K52+G53)</f>
        <v/>
      </c>
      <c r="L53" s="1">
        <f>SUM(L52+H53)</f>
        <v/>
      </c>
      <c r="M53" s="1">
        <f>SUM(M52+I53)</f>
        <v/>
      </c>
      <c r="N53" s="1">
        <f>SUM(J53+N52)</f>
        <v/>
      </c>
      <c r="O53" s="2">
        <f>ROUND(SUM(O52+F53),1)</f>
        <v/>
      </c>
    </row>
    <row r="54">
      <c r="A54" s="3" t="inlineStr">
        <is>
          <t>5.21</t>
        </is>
      </c>
      <c r="B54" s="3" t="inlineStr">
        <is>
          <t>5.22</t>
        </is>
      </c>
      <c r="C54" s="1" t="n">
        <v>2.5</v>
      </c>
      <c r="D54" s="4" t="n">
        <v>245</v>
      </c>
      <c r="E54" s="4" t="n">
        <v>0</v>
      </c>
      <c r="F54" s="1">
        <f>C54*COS(RADIANS(E54))</f>
        <v/>
      </c>
      <c r="G54" s="1">
        <f>C54*COS(RADIANS(E54)) *SIN(RADIANS(D54))</f>
        <v/>
      </c>
      <c r="H54" s="1">
        <f>C54*COS(RADIANS(E54))*COS(RADIANS(D54))</f>
        <v/>
      </c>
      <c r="I54" s="1">
        <f>C54*SIN(RADIANS(E54))</f>
        <v/>
      </c>
      <c r="J54" s="1">
        <f>C54*COS(RADIANS(E54))*COS(RADIANS(D54-180))</f>
        <v/>
      </c>
      <c r="K54" s="1">
        <f>SUM(K53+G54)</f>
        <v/>
      </c>
      <c r="L54" s="1">
        <f>SUM(L53+H54)</f>
        <v/>
      </c>
      <c r="M54" s="1">
        <f>SUM(M53+I54)</f>
        <v/>
      </c>
      <c r="N54" s="1">
        <f>SUM(J54+N53)</f>
        <v/>
      </c>
      <c r="O54" s="2">
        <f>ROUND(SUM(O53+F54),1)</f>
        <v/>
      </c>
    </row>
    <row r="55">
      <c r="A55" s="3" t="inlineStr">
        <is>
          <t>5.22</t>
        </is>
      </c>
      <c r="B55" s="3" t="inlineStr">
        <is>
          <t>5.23</t>
        </is>
      </c>
      <c r="C55" s="1" t="n">
        <v>2</v>
      </c>
      <c r="D55" s="4" t="n">
        <v>235</v>
      </c>
      <c r="E55" s="4" t="n">
        <v>18</v>
      </c>
      <c r="F55" s="1">
        <f>C55*COS(RADIANS(E55))</f>
        <v/>
      </c>
      <c r="G55" s="1">
        <f>C55*COS(RADIANS(E55)) *SIN(RADIANS(D55))</f>
        <v/>
      </c>
      <c r="H55" s="1">
        <f>C55*COS(RADIANS(E55))*COS(RADIANS(D55))</f>
        <v/>
      </c>
      <c r="I55" s="1">
        <f>C55*SIN(RADIANS(E55))</f>
        <v/>
      </c>
      <c r="J55" s="1">
        <f>C55*COS(RADIANS(E55))*COS(RADIANS(D55-180))</f>
        <v/>
      </c>
      <c r="K55" s="1">
        <f>SUM(K54+G55)</f>
        <v/>
      </c>
      <c r="L55" s="1">
        <f>SUM(L54+H55)</f>
        <v/>
      </c>
      <c r="M55" s="1">
        <f>SUM(M54+I55)</f>
        <v/>
      </c>
      <c r="N55" s="1">
        <f>SUM(J55+N54)</f>
        <v/>
      </c>
      <c r="O55" s="2">
        <f>ROUND(SUM(O54+F55),1)</f>
        <v/>
      </c>
      <c r="P55" s="1" t="inlineStr">
        <is>
          <t>za zaciskiem, pod kominem</t>
        </is>
      </c>
    </row>
    <row r="56">
      <c r="A56" s="3" t="inlineStr">
        <is>
          <t>5.23</t>
        </is>
      </c>
      <c r="B56" s="3" t="inlineStr">
        <is>
          <t>5.24</t>
        </is>
      </c>
      <c r="C56" s="1" t="n">
        <v>7.9</v>
      </c>
      <c r="D56" s="4" t="n">
        <v>220</v>
      </c>
      <c r="E56" s="4" t="n">
        <v>0</v>
      </c>
      <c r="F56" s="1">
        <f>C56*COS(RADIANS(E56))</f>
        <v/>
      </c>
      <c r="G56" s="1">
        <f>C56*COS(RADIANS(E56)) *SIN(RADIANS(D56))</f>
        <v/>
      </c>
      <c r="H56" s="1">
        <f>C56*COS(RADIANS(E56))*COS(RADIANS(D56))</f>
        <v/>
      </c>
      <c r="I56" s="1">
        <f>C56*SIN(RADIANS(E56))</f>
        <v/>
      </c>
      <c r="J56" s="1">
        <f>C56*COS(RADIANS(E56))*COS(RADIANS(D56-180))</f>
        <v/>
      </c>
      <c r="K56" s="1">
        <f>SUM(K55+G56)</f>
        <v/>
      </c>
      <c r="L56" s="1">
        <f>SUM(L55+H56)</f>
        <v/>
      </c>
      <c r="M56" s="1">
        <f>SUM(M55+I56)</f>
        <v/>
      </c>
      <c r="N56" s="1">
        <f>SUM(J56+N55)</f>
        <v/>
      </c>
      <c r="O56" s="2">
        <f>ROUND(SUM(O55+F56),1)</f>
        <v/>
      </c>
      <c r="P56" s="1" t="inlineStr">
        <is>
          <t>otwór JPNZT</t>
        </is>
      </c>
    </row>
    <row r="57">
      <c r="A57" s="3" t="n"/>
      <c r="B57" s="3" t="n"/>
      <c r="C57" s="1" t="n">
        <v>0</v>
      </c>
      <c r="D57" s="4" t="n">
        <v>0</v>
      </c>
      <c r="E57" s="4" t="n">
        <v>0</v>
      </c>
      <c r="F57" s="1">
        <f>C57*COS(RADIANS(E57))</f>
        <v/>
      </c>
      <c r="G57" s="1">
        <f>C57*COS(RADIANS(E57)) *SIN(RADIANS(D57))</f>
        <v/>
      </c>
      <c r="H57" s="1">
        <f>C57*COS(RADIANS(E57))*COS(RADIANS(D57))</f>
        <v/>
      </c>
      <c r="I57" s="1">
        <f>C57*SIN(RADIANS(E57))</f>
        <v/>
      </c>
      <c r="J57" s="1">
        <f>C57*COS(RADIANS(E57))*COS(RADIANS(D57-180))</f>
        <v/>
      </c>
      <c r="K57" s="1">
        <f>SUM(K56+G57)</f>
        <v/>
      </c>
      <c r="L57" s="1">
        <f>SUM(L56+H57)</f>
        <v/>
      </c>
      <c r="M57" s="1">
        <f>SUM(M56+I57)</f>
        <v/>
      </c>
      <c r="N57" s="1">
        <f>SUM(J57+N56)</f>
        <v/>
      </c>
      <c r="O57" s="2">
        <f>ROUND(SUM(O56+F57),1)</f>
        <v/>
      </c>
    </row>
    <row r="58">
      <c r="A58" s="3" t="n"/>
      <c r="B58" s="3" t="n"/>
      <c r="C58" s="1" t="n"/>
      <c r="D58" s="4" t="n"/>
      <c r="E58" s="4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inlineStr">
        <is>
          <t>5.15</t>
        </is>
      </c>
      <c r="C59" s="1" t="n"/>
      <c r="D59" s="4" t="n"/>
      <c r="E59" s="4" t="n"/>
      <c r="F59" s="1" t="n"/>
      <c r="G59" s="1" t="n"/>
      <c r="H59" s="1" t="n"/>
      <c r="I59" s="1" t="n"/>
      <c r="J59" s="1" t="n"/>
      <c r="K59" s="1" t="n">
        <v>4.230789685219734</v>
      </c>
      <c r="L59" s="1" t="n">
        <v>-16.38017372875956</v>
      </c>
      <c r="M59" s="1" t="n">
        <v>0.6981259763108693</v>
      </c>
      <c r="N59" s="1">
        <f>SUM(J59+N58)</f>
        <v/>
      </c>
      <c r="O59" s="2">
        <f>ROUND(SUM(O58+F59),1)</f>
        <v/>
      </c>
    </row>
    <row r="60">
      <c r="A60" s="3" t="inlineStr">
        <is>
          <t>5.15</t>
        </is>
      </c>
      <c r="B60" s="3" t="inlineStr">
        <is>
          <t>5.15.1</t>
        </is>
      </c>
      <c r="C60" s="1" t="n">
        <v>3.3</v>
      </c>
      <c r="D60" s="4" t="n">
        <v>53</v>
      </c>
      <c r="E60" s="4" t="n">
        <v>0</v>
      </c>
      <c r="F60" s="1">
        <f>C60*COS(RADIANS(E60))</f>
        <v/>
      </c>
      <c r="G60" s="1">
        <f>C60*COS(RADIANS(E60)) *SIN(RADIANS(D60))</f>
        <v/>
      </c>
      <c r="H60" s="1">
        <f>C60*COS(RADIANS(E60))*COS(RADIANS(D60))</f>
        <v/>
      </c>
      <c r="I60" s="1">
        <f>C60*SIN(RADIANS(E60))</f>
        <v/>
      </c>
      <c r="J60" s="1">
        <f>C60*COS(RADIANS(E60))*COS(RADIANS(D60-180))</f>
        <v/>
      </c>
      <c r="K60" s="1">
        <f>SUM(K59+G60)</f>
        <v/>
      </c>
      <c r="L60" s="1">
        <f>SUM(L59+H60)</f>
        <v/>
      </c>
      <c r="M60" s="1">
        <f>SUM(M59+I60)</f>
        <v/>
      </c>
      <c r="N60" s="1">
        <f>SUM(J60+N59)</f>
        <v/>
      </c>
      <c r="O60" s="2">
        <f>ROUND(SUM(O59+F60),1)</f>
        <v/>
      </c>
    </row>
    <row r="61">
      <c r="A61" s="3" t="n"/>
      <c r="B61" s="3" t="n"/>
      <c r="C61" s="1" t="n"/>
      <c r="D61" s="4" t="n"/>
      <c r="E61" s="4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inlineStr">
        <is>
          <t>5.15</t>
        </is>
      </c>
      <c r="C62" s="1" t="n"/>
      <c r="D62" s="4" t="n"/>
      <c r="E62" s="4" t="n"/>
      <c r="F62" s="1" t="n"/>
      <c r="G62" s="1" t="n"/>
      <c r="H62" s="1" t="n"/>
      <c r="I62" s="1" t="n"/>
      <c r="J62" s="1" t="n"/>
      <c r="K62" s="1" t="n">
        <v>4.230789685219734</v>
      </c>
      <c r="L62" s="1" t="n">
        <v>-16.38017372875956</v>
      </c>
      <c r="M62" s="1" t="n">
        <v>0.6981259763108693</v>
      </c>
      <c r="N62" s="1">
        <f>SUM(J62+N61)</f>
        <v/>
      </c>
      <c r="O62" s="2">
        <f>ROUND(SUM(O61+F62),1)</f>
        <v/>
      </c>
    </row>
    <row r="63">
      <c r="A63" s="3" t="inlineStr">
        <is>
          <t>5.15</t>
        </is>
      </c>
      <c r="B63" s="3" t="inlineStr">
        <is>
          <t>5.15.11</t>
        </is>
      </c>
      <c r="C63" s="1" t="n">
        <v>5.4</v>
      </c>
      <c r="D63" s="4" t="n">
        <v>223</v>
      </c>
      <c r="E63" s="4" t="n">
        <v>0</v>
      </c>
      <c r="F63" s="1">
        <f>C63*COS(RADIANS(E63))</f>
        <v/>
      </c>
      <c r="G63" s="1">
        <f>C63*COS(RADIANS(E63)) *SIN(RADIANS(D63))</f>
        <v/>
      </c>
      <c r="H63" s="1">
        <f>C63*COS(RADIANS(E63))*COS(RADIANS(D63))</f>
        <v/>
      </c>
      <c r="I63" s="1">
        <f>C63*SIN(RADIANS(E63))</f>
        <v/>
      </c>
      <c r="J63" s="1">
        <f>C63*COS(RADIANS(E63))*COS(RADIANS(D63-180))</f>
        <v/>
      </c>
      <c r="K63" s="1">
        <f>SUM(K62+G63)</f>
        <v/>
      </c>
      <c r="L63" s="1">
        <f>SUM(L62+H63)</f>
        <v/>
      </c>
      <c r="M63" s="1">
        <f>SUM(M62+I63)</f>
        <v/>
      </c>
      <c r="N63" s="1">
        <f>SUM(J63+N62)</f>
        <v/>
      </c>
      <c r="O63" s="2">
        <f>ROUND(SUM(O62+F63),1)</f>
        <v/>
      </c>
    </row>
    <row r="64">
      <c r="A64" s="3" t="n"/>
      <c r="B64" s="3" t="n"/>
      <c r="C64" s="1" t="n"/>
      <c r="D64" s="4" t="n"/>
      <c r="E64" s="4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inlineStr">
        <is>
          <t>5.16</t>
        </is>
      </c>
      <c r="C65" s="1" t="n"/>
      <c r="D65" s="4" t="n"/>
      <c r="E65" s="4" t="n"/>
      <c r="F65" s="1" t="n"/>
      <c r="G65" s="1" t="n"/>
      <c r="H65" s="1" t="n"/>
      <c r="I65" s="1" t="n"/>
      <c r="J65" s="1" t="n"/>
      <c r="K65" s="1" t="n">
        <v>5.32121584698769</v>
      </c>
      <c r="L65" s="1" t="n">
        <v>-17.99679699524189</v>
      </c>
      <c r="M65" s="1" t="n">
        <v>0.6981259763108693</v>
      </c>
      <c r="N65" s="1">
        <f>SUM(J65+N64)</f>
        <v/>
      </c>
      <c r="O65" s="2">
        <f>ROUND(SUM(O64+F65),1)</f>
        <v/>
      </c>
    </row>
    <row r="66">
      <c r="A66" s="3" t="inlineStr">
        <is>
          <t>5.16</t>
        </is>
      </c>
      <c r="B66" s="3" t="inlineStr">
        <is>
          <t>5.16.1</t>
        </is>
      </c>
      <c r="C66" s="1" t="n">
        <v>5.5</v>
      </c>
      <c r="D66" s="4" t="n">
        <v>60</v>
      </c>
      <c r="E66" s="4" t="n">
        <v>28</v>
      </c>
      <c r="F66" s="1">
        <f>C66*COS(RADIANS(E66))</f>
        <v/>
      </c>
      <c r="G66" s="1">
        <f>C66*COS(RADIANS(E66)) *SIN(RADIANS(D66))</f>
        <v/>
      </c>
      <c r="H66" s="1">
        <f>C66*COS(RADIANS(E66))*COS(RADIANS(D66))</f>
        <v/>
      </c>
      <c r="I66" s="1">
        <f>C66*SIN(RADIANS(E66))</f>
        <v/>
      </c>
      <c r="J66" s="1">
        <f>C66*COS(RADIANS(E66))*COS(RADIANS(D66-180))</f>
        <v/>
      </c>
      <c r="K66" s="1">
        <f>SUM(K65+G66)</f>
        <v/>
      </c>
      <c r="L66" s="1">
        <f>SUM(L65+H66)</f>
        <v/>
      </c>
      <c r="M66" s="1">
        <f>SUM(M65+I66)</f>
        <v/>
      </c>
      <c r="N66" s="1">
        <f>SUM(J66+N65)</f>
        <v/>
      </c>
      <c r="O66" s="2">
        <f>ROUND(SUM(O65+F66),1)</f>
        <v/>
      </c>
    </row>
    <row r="67">
      <c r="A67" s="3" t="inlineStr">
        <is>
          <t>5.16.1</t>
        </is>
      </c>
      <c r="B67" s="3" t="inlineStr">
        <is>
          <t>5.16.2</t>
        </is>
      </c>
      <c r="C67" s="1" t="n">
        <v>4.2</v>
      </c>
      <c r="D67" s="4" t="n">
        <v>38</v>
      </c>
      <c r="E67" s="4" t="n">
        <v>-7</v>
      </c>
      <c r="F67" s="1">
        <f>C67*COS(RADIANS(E67))</f>
        <v/>
      </c>
      <c r="G67" s="1">
        <f>C67*COS(RADIANS(E67)) *SIN(RADIANS(D67))</f>
        <v/>
      </c>
      <c r="H67" s="1">
        <f>C67*COS(RADIANS(E67))*COS(RADIANS(D67))</f>
        <v/>
      </c>
      <c r="I67" s="1">
        <f>C67*SIN(RADIANS(E67))</f>
        <v/>
      </c>
      <c r="J67" s="1">
        <f>C67*COS(RADIANS(E67))*COS(RADIANS(D67-180))</f>
        <v/>
      </c>
      <c r="K67" s="1">
        <f>SUM(K66+G67)</f>
        <v/>
      </c>
      <c r="L67" s="1">
        <f>SUM(L66+H67)</f>
        <v/>
      </c>
      <c r="M67" s="1">
        <f>SUM(M66+I67)</f>
        <v/>
      </c>
      <c r="N67" s="1">
        <f>SUM(J67+N66)</f>
        <v/>
      </c>
      <c r="O67" s="2">
        <f>ROUND(SUM(O66+F67),1)</f>
        <v/>
      </c>
    </row>
    <row r="68">
      <c r="A68" s="3" t="inlineStr">
        <is>
          <t>5.16.2</t>
        </is>
      </c>
      <c r="B68" s="3" t="inlineStr">
        <is>
          <t>5.16.3</t>
        </is>
      </c>
      <c r="C68" s="1" t="n">
        <v>5.15</v>
      </c>
      <c r="D68" s="4" t="n">
        <v>42</v>
      </c>
      <c r="E68" s="4" t="n">
        <v>0</v>
      </c>
      <c r="F68" s="1">
        <f>C68*COS(RADIANS(E68))</f>
        <v/>
      </c>
      <c r="G68" s="1">
        <f>C68*COS(RADIANS(E68)) *SIN(RADIANS(D68))</f>
        <v/>
      </c>
      <c r="H68" s="1">
        <f>C68*COS(RADIANS(E68))*COS(RADIANS(D68))</f>
        <v/>
      </c>
      <c r="I68" s="1">
        <f>C68*SIN(RADIANS(E68))</f>
        <v/>
      </c>
      <c r="J68" s="1">
        <f>C68*COS(RADIANS(E68))*COS(RADIANS(D68-180))</f>
        <v/>
      </c>
      <c r="K68" s="1">
        <f>SUM(K67+G68)</f>
        <v/>
      </c>
      <c r="L68" s="1">
        <f>SUM(L67+H68)</f>
        <v/>
      </c>
      <c r="M68" s="1">
        <f>SUM(M67+I68)</f>
        <v/>
      </c>
      <c r="N68" s="1">
        <f>SUM(J68+N67)</f>
        <v/>
      </c>
      <c r="O68" s="2">
        <f>ROUND(SUM(O67+F68),1)</f>
        <v/>
      </c>
      <c r="P68" t="inlineStr">
        <is>
          <t>Salka bez Klocków</t>
        </is>
      </c>
    </row>
    <row r="69">
      <c r="A69" s="3" t="n"/>
      <c r="B69" s="3" t="n"/>
      <c r="C69" s="1" t="n"/>
      <c r="D69" s="4" t="n"/>
      <c r="E69" s="4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inlineStr">
        <is>
          <t>5.17</t>
        </is>
      </c>
      <c r="C70" s="1" t="n"/>
      <c r="D70" s="4" t="n"/>
      <c r="E70" s="4" t="n"/>
      <c r="F70" s="1" t="n"/>
      <c r="G70" s="1" t="n"/>
      <c r="H70" s="1" t="n"/>
      <c r="I70" s="1" t="n"/>
      <c r="J70" s="1" t="n"/>
      <c r="K70" s="1" t="n">
        <v>4.588466016886613</v>
      </c>
      <c r="L70" s="1" t="n">
        <v>-19.56818407689586</v>
      </c>
      <c r="M70" s="1" t="n">
        <v>1.398640305998625</v>
      </c>
      <c r="N70" s="1">
        <f>SUM(J70+N69)</f>
        <v/>
      </c>
      <c r="O70" s="2">
        <f>ROUND(SUM(O69+F70),1)</f>
        <v/>
      </c>
    </row>
    <row r="71">
      <c r="A71" s="3" t="inlineStr">
        <is>
          <t>5.17</t>
        </is>
      </c>
      <c r="B71" s="3" t="inlineStr">
        <is>
          <t>5.17.1</t>
        </is>
      </c>
      <c r="C71" s="1" t="n">
        <v>2.2</v>
      </c>
      <c r="D71" s="4" t="n">
        <v>190</v>
      </c>
      <c r="E71" s="4" t="n">
        <v>12</v>
      </c>
      <c r="F71" s="1">
        <f>C71*COS(RADIANS(E71))</f>
        <v/>
      </c>
      <c r="G71" s="1">
        <f>C71*COS(RADIANS(E71)) *SIN(RADIANS(D71))</f>
        <v/>
      </c>
      <c r="H71" s="1">
        <f>C71*COS(RADIANS(E71))*COS(RADIANS(D71))</f>
        <v/>
      </c>
      <c r="I71" s="1">
        <f>C71*SIN(RADIANS(E71))</f>
        <v/>
      </c>
      <c r="J71" s="1">
        <f>C71*COS(RADIANS(E71))*COS(RADIANS(D71-180))</f>
        <v/>
      </c>
      <c r="K71" s="1">
        <f>SUM(K70+G71)</f>
        <v/>
      </c>
      <c r="L71" s="1">
        <f>SUM(L70+H71)</f>
        <v/>
      </c>
      <c r="M71" s="1">
        <f>SUM(M70+I71)</f>
        <v/>
      </c>
      <c r="N71" s="1">
        <f>SUM(J71+N70)</f>
        <v/>
      </c>
      <c r="O71" s="2">
        <f>ROUND(SUM(O70+F71),1)</f>
        <v/>
      </c>
    </row>
    <row r="72">
      <c r="A72" s="3" t="inlineStr">
        <is>
          <t>5.17.1</t>
        </is>
      </c>
      <c r="B72" s="3" t="inlineStr">
        <is>
          <t>5.17.2</t>
        </is>
      </c>
      <c r="C72" s="1" t="n">
        <v>5.8</v>
      </c>
      <c r="D72" s="4" t="n">
        <v>207</v>
      </c>
      <c r="E72" s="4" t="n">
        <v>0</v>
      </c>
      <c r="F72" s="1">
        <f>C72*COS(RADIANS(E72))</f>
        <v/>
      </c>
      <c r="G72" s="1">
        <f>C72*COS(RADIANS(E72)) *SIN(RADIANS(D72))</f>
        <v/>
      </c>
      <c r="H72" s="1">
        <f>C72*COS(RADIANS(E72))*COS(RADIANS(D72))</f>
        <v/>
      </c>
      <c r="I72" s="1">
        <f>C72*SIN(RADIANS(E72))</f>
        <v/>
      </c>
      <c r="J72" s="1">
        <f>C72*COS(RADIANS(E72))*COS(RADIANS(D72-180))</f>
        <v/>
      </c>
      <c r="K72" s="1">
        <f>SUM(K71+G72)</f>
        <v/>
      </c>
      <c r="L72" s="1">
        <f>SUM(L71+H72)</f>
        <v/>
      </c>
      <c r="M72" s="1">
        <f>SUM(M71+I72)</f>
        <v/>
      </c>
      <c r="N72" s="1">
        <f>SUM(J72+N71)</f>
        <v/>
      </c>
      <c r="O72" s="2">
        <f>ROUND(SUM(O71+F72),1)</f>
        <v/>
      </c>
    </row>
    <row r="73">
      <c r="A73" s="3" t="inlineStr">
        <is>
          <t>5.17.2</t>
        </is>
      </c>
      <c r="B73" s="3" t="inlineStr">
        <is>
          <t>5.17.3</t>
        </is>
      </c>
      <c r="C73" s="1" t="n">
        <v>1.8</v>
      </c>
      <c r="D73" s="4" t="n">
        <v>200</v>
      </c>
      <c r="E73" s="4" t="n">
        <v>15</v>
      </c>
      <c r="F73" s="1">
        <f>C73*COS(RADIANS(E73))</f>
        <v/>
      </c>
      <c r="G73" s="1">
        <f>C73*COS(RADIANS(E73)) *SIN(RADIANS(D73))</f>
        <v/>
      </c>
      <c r="H73" s="1">
        <f>C73*COS(RADIANS(E73))*COS(RADIANS(D73))</f>
        <v/>
      </c>
      <c r="I73" s="1">
        <f>C73*SIN(RADIANS(E73))</f>
        <v/>
      </c>
      <c r="J73" s="1">
        <f>C73*COS(RADIANS(E73))*COS(RADIANS(D73-180))</f>
        <v/>
      </c>
      <c r="K73" s="1">
        <f>SUM(K72+G73)</f>
        <v/>
      </c>
      <c r="L73" s="1">
        <f>SUM(L72+H73)</f>
        <v/>
      </c>
      <c r="M73" s="1">
        <f>SUM(M72+I73)</f>
        <v/>
      </c>
      <c r="N73" s="1">
        <f>SUM(J73+N72)</f>
        <v/>
      </c>
      <c r="O73" s="2">
        <f>ROUND(SUM(O72+F73),1)</f>
        <v/>
      </c>
    </row>
    <row r="74">
      <c r="A74" s="3" t="inlineStr">
        <is>
          <t>5.17.3</t>
        </is>
      </c>
      <c r="B74" s="3" t="inlineStr">
        <is>
          <t>5.17.4</t>
        </is>
      </c>
      <c r="C74" s="1" t="n">
        <v>3</v>
      </c>
      <c r="D74" s="4" t="n">
        <v>196</v>
      </c>
      <c r="E74" s="4" t="n">
        <v>0</v>
      </c>
      <c r="F74" s="1">
        <f>C74*COS(RADIANS(E74))</f>
        <v/>
      </c>
      <c r="G74" s="1">
        <f>C74*COS(RADIANS(E74)) *SIN(RADIANS(D74))</f>
        <v/>
      </c>
      <c r="H74" s="1">
        <f>C74*COS(RADIANS(E74))*COS(RADIANS(D74))</f>
        <v/>
      </c>
      <c r="I74" s="1">
        <f>C74*SIN(RADIANS(E74))</f>
        <v/>
      </c>
      <c r="J74" s="1">
        <f>C74*COS(RADIANS(E74))*COS(RADIANS(D74-180))</f>
        <v/>
      </c>
      <c r="K74" s="1">
        <f>SUM(K73+G74)</f>
        <v/>
      </c>
      <c r="L74" s="1">
        <f>SUM(L73+H74)</f>
        <v/>
      </c>
      <c r="M74" s="1">
        <f>SUM(M73+I74)</f>
        <v/>
      </c>
      <c r="N74" s="1">
        <f>SUM(J74+N73)</f>
        <v/>
      </c>
      <c r="O74" s="2">
        <f>ROUND(SUM(O73+F74),1)</f>
        <v/>
      </c>
    </row>
    <row r="75">
      <c r="A75" s="3" t="n"/>
      <c r="B75" s="3" t="n"/>
      <c r="C75" s="1" t="n"/>
      <c r="D75" s="4" t="n"/>
      <c r="E75" s="4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inlineStr">
        <is>
          <t>5.17.1</t>
        </is>
      </c>
      <c r="C76" s="1" t="n"/>
      <c r="D76" s="4" t="n"/>
      <c r="E76" s="4" t="n"/>
      <c r="F76" s="1" t="n"/>
      <c r="G76" s="1" t="n"/>
      <c r="H76" s="1" t="n"/>
      <c r="I76" s="1" t="n"/>
      <c r="J76" s="1" t="n"/>
      <c r="K76" s="1" t="n">
        <v>4.214788210501861</v>
      </c>
      <c r="L76" s="1" t="n">
        <v>-21.68741622664033</v>
      </c>
      <c r="M76" s="1" t="n">
        <v>1.856046025797695</v>
      </c>
      <c r="N76" s="1">
        <f>SUM(J76+N75)</f>
        <v/>
      </c>
      <c r="O76" s="2">
        <f>ROUND(SUM(O75+F76),1)</f>
        <v/>
      </c>
    </row>
    <row r="77">
      <c r="A77" s="3" t="inlineStr">
        <is>
          <t>5.17.1</t>
        </is>
      </c>
      <c r="B77" s="3" t="inlineStr">
        <is>
          <t>5.17.1.1</t>
        </is>
      </c>
      <c r="C77" s="1" t="n">
        <v>4.5</v>
      </c>
      <c r="D77" s="4" t="n">
        <v>37</v>
      </c>
      <c r="E77" s="4" t="n">
        <v>0</v>
      </c>
      <c r="F77" s="1">
        <f>C77*COS(RADIANS(E77))</f>
        <v/>
      </c>
      <c r="G77" s="1">
        <f>C77*COS(RADIANS(E77)) *SIN(RADIANS(D77))</f>
        <v/>
      </c>
      <c r="H77" s="1">
        <f>C77*COS(RADIANS(E77))*COS(RADIANS(D77))</f>
        <v/>
      </c>
      <c r="I77" s="1">
        <f>C77*SIN(RADIANS(E77))</f>
        <v/>
      </c>
      <c r="J77" s="1">
        <f>C77*COS(RADIANS(E77))*COS(RADIANS(D77-180))</f>
        <v/>
      </c>
      <c r="K77" s="1">
        <f>SUM(K76+G77)</f>
        <v/>
      </c>
      <c r="L77" s="1">
        <f>SUM(L76+H77)</f>
        <v/>
      </c>
      <c r="M77" s="1">
        <f>SUM(M76+I77)</f>
        <v/>
      </c>
      <c r="N77" s="1">
        <f>SUM(J77+N76)</f>
        <v/>
      </c>
      <c r="O77" s="2">
        <f>ROUND(SUM(O76+F77),1)</f>
        <v/>
      </c>
      <c r="P77" s="1" t="inlineStr">
        <is>
          <t>salka wstecz, domiar,</t>
        </is>
      </c>
    </row>
    <row r="78">
      <c r="A78" s="3" t="n"/>
      <c r="B78" s="3" t="n"/>
      <c r="C78" s="1" t="n"/>
      <c r="D78" s="4" t="n"/>
      <c r="E78" s="4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  <c r="P78" s="1" t="inlineStr">
        <is>
          <t xml:space="preserve"> łączy się ze szczeliną do Sali bez Klocków</t>
        </is>
      </c>
    </row>
    <row r="79">
      <c r="A79" s="3" t="n"/>
      <c r="B79" s="3" t="inlineStr">
        <is>
          <t>5.16</t>
        </is>
      </c>
      <c r="C79" s="1" t="n"/>
      <c r="D79" s="4" t="n"/>
      <c r="E79" s="4" t="n"/>
      <c r="F79" s="1" t="n"/>
      <c r="G79" s="1" t="n"/>
      <c r="H79" s="1" t="n"/>
      <c r="I79" s="1" t="n"/>
      <c r="J79" s="1" t="n"/>
      <c r="K79" s="1" t="n">
        <v>5.32121584698769</v>
      </c>
      <c r="L79" s="1" t="n">
        <v>-17.99679699524189</v>
      </c>
      <c r="M79" s="1" t="n">
        <v>0.6981259763108693</v>
      </c>
      <c r="N79" s="1">
        <f>SUM(J79+N78)</f>
        <v/>
      </c>
      <c r="O79" s="2">
        <f>ROUND(SUM(O78+F79),1)</f>
        <v/>
      </c>
    </row>
    <row r="80">
      <c r="A80" s="3" t="inlineStr">
        <is>
          <t>5.16</t>
        </is>
      </c>
      <c r="B80" s="3" t="inlineStr">
        <is>
          <t>5.18</t>
        </is>
      </c>
      <c r="C80" s="1" t="n">
        <v>5.1</v>
      </c>
      <c r="D80" s="4" t="n">
        <v>225</v>
      </c>
      <c r="E80" s="4" t="n">
        <v>4</v>
      </c>
      <c r="F80" s="1">
        <f>C80*COS(RADIANS(E80))</f>
        <v/>
      </c>
      <c r="G80" s="1">
        <f>C80*COS(RADIANS(E80)) *SIN(RADIANS(D80))</f>
        <v/>
      </c>
      <c r="H80" s="1">
        <f>C80*COS(RADIANS(E80))*COS(RADIANS(D80))</f>
        <v/>
      </c>
      <c r="I80" s="1">
        <f>C80*SIN(RADIANS(E80))</f>
        <v/>
      </c>
      <c r="J80" s="1">
        <f>C80*COS(RADIANS(E80))*COS(RADIANS(D80-180))</f>
        <v/>
      </c>
      <c r="K80" s="1">
        <f>SUM(K79+G80)</f>
        <v/>
      </c>
      <c r="L80" s="1">
        <f>SUM(L79+H80)</f>
        <v/>
      </c>
      <c r="M80" s="1">
        <f>SUM(M79+I80)</f>
        <v/>
      </c>
      <c r="N80" s="1">
        <f>SUM(J80+N79)</f>
        <v/>
      </c>
      <c r="O80" s="2">
        <f>ROUND(SUM(O79+F80),1)</f>
        <v/>
      </c>
      <c r="P80" s="1" t="inlineStr">
        <is>
          <t>domiar</t>
        </is>
      </c>
    </row>
    <row r="81">
      <c r="A81" s="3" t="inlineStr">
        <is>
          <t>5.18</t>
        </is>
      </c>
      <c r="B81" s="3" t="inlineStr">
        <is>
          <t>5.18.1</t>
        </is>
      </c>
      <c r="C81" s="1" t="n">
        <v>4.8</v>
      </c>
      <c r="D81" s="4" t="n">
        <v>242</v>
      </c>
      <c r="E81" s="4" t="n">
        <v>0</v>
      </c>
      <c r="F81" s="1">
        <f>C81*COS(RADIANS(E81))</f>
        <v/>
      </c>
      <c r="G81" s="1">
        <f>C81*COS(RADIANS(E81)) *SIN(RADIANS(D81))</f>
        <v/>
      </c>
      <c r="H81" s="1">
        <f>C81*COS(RADIANS(E81))*COS(RADIANS(D81))</f>
        <v/>
      </c>
      <c r="I81" s="1">
        <f>C81*SIN(RADIANS(E81))</f>
        <v/>
      </c>
      <c r="J81" s="1">
        <f>C81*COS(RADIANS(E81))*COS(RADIANS(D81-180))</f>
        <v/>
      </c>
      <c r="K81" s="1">
        <f>SUM(K80+G81)</f>
        <v/>
      </c>
      <c r="L81" s="1">
        <f>SUM(L80+H81)</f>
        <v/>
      </c>
      <c r="M81" s="1">
        <f>SUM(M80+I81)</f>
        <v/>
      </c>
      <c r="N81" s="1">
        <f>SUM(J81+N80)</f>
        <v/>
      </c>
      <c r="O81" s="2">
        <f>ROUND(SUM(O80+F81),1)</f>
        <v/>
      </c>
      <c r="P81" s="1" t="inlineStr">
        <is>
          <t>łączy się z 15', doliczyć do dł.</t>
        </is>
      </c>
    </row>
    <row r="82">
      <c r="A82" s="3" t="n"/>
      <c r="B82" s="3" t="n"/>
      <c r="C82" s="1" t="n"/>
      <c r="D82" s="4" t="n"/>
      <c r="E82" s="4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inlineStr">
        <is>
          <t>D. przy Ziobrowej</t>
        </is>
      </c>
      <c r="B83" s="3" t="n"/>
      <c r="C83" s="1" t="n"/>
      <c r="D83" s="4" t="n">
        <v>0</v>
      </c>
      <c r="E83" s="4" t="n">
        <v>0</v>
      </c>
      <c r="F83" s="1">
        <f>C83*COS(RADIANS(E83))</f>
        <v/>
      </c>
      <c r="G83" s="1">
        <f>C83*COS(RADIANS(E83)) *SIN(RADIANS(D83))</f>
        <v/>
      </c>
      <c r="H83" s="1">
        <f>C83*COS(RADIANS(E83))*COS(RADIANS(D83))</f>
        <v/>
      </c>
      <c r="I83" s="1">
        <f>C83*SIN(RADIANS(E83))</f>
        <v/>
      </c>
      <c r="J83" s="1">
        <f>C83*COS(RADIANS(E83))*COS(RADIANS(D83-180))</f>
        <v/>
      </c>
      <c r="K83" s="1">
        <f>SUM(K82+G83)</f>
        <v/>
      </c>
      <c r="L83" s="1">
        <f>SUM(L82+H83)</f>
        <v/>
      </c>
      <c r="M83" s="1">
        <f>SUM(M82+I83)</f>
        <v/>
      </c>
      <c r="N83" s="1">
        <f>SUM(J83+N82)</f>
        <v/>
      </c>
      <c r="O83" s="2">
        <f>ROUND(SUM(O82+F83),1)</f>
        <v/>
      </c>
    </row>
    <row r="84">
      <c r="A84" s="3" t="n"/>
      <c r="B84" s="3" t="inlineStr">
        <is>
          <t>30 m</t>
        </is>
      </c>
      <c r="C84" s="1" t="n">
        <v>0</v>
      </c>
      <c r="D84" s="4" t="n">
        <v>0</v>
      </c>
      <c r="E84" s="4" t="n">
        <v>0</v>
      </c>
      <c r="F84" s="1">
        <f>C84*COS(RADIANS(E84))</f>
        <v/>
      </c>
      <c r="G84" s="1">
        <f>C84*COS(RADIANS(E84)) *SIN(RADIANS(D84))</f>
        <v/>
      </c>
      <c r="H84" s="1">
        <f>C84*COS(RADIANS(E84))*COS(RADIANS(D84))</f>
        <v/>
      </c>
      <c r="I84" s="1">
        <f>C84*SIN(RADIANS(E84))</f>
        <v/>
      </c>
      <c r="J84" s="1">
        <f>C84*COS(RADIANS(E84))*COS(RADIANS(D84-180))</f>
        <v/>
      </c>
      <c r="K84" s="1">
        <f>SUM(K83+G84)</f>
        <v/>
      </c>
      <c r="L84" s="1">
        <f>SUM(L83+H84)</f>
        <v/>
      </c>
      <c r="M84" s="1">
        <f>SUM(M83+I84)</f>
        <v/>
      </c>
      <c r="N84" s="1">
        <f>SUM(J84+N83)</f>
        <v/>
      </c>
      <c r="O84" s="2">
        <f>ROUND(SUM(O83+F84),1)</f>
        <v/>
      </c>
    </row>
    <row r="85">
      <c r="A85" s="3" t="n"/>
      <c r="B85" s="3" t="n"/>
      <c r="C85" s="1" t="n">
        <v>0</v>
      </c>
      <c r="D85" s="4" t="n">
        <v>0</v>
      </c>
      <c r="E85" s="4" t="n">
        <v>0</v>
      </c>
      <c r="F85" s="1">
        <f>C85*COS(RADIANS(E85))</f>
        <v/>
      </c>
      <c r="G85" s="1">
        <f>C85*COS(RADIANS(E85)) *SIN(RADIANS(D85))</f>
        <v/>
      </c>
      <c r="H85" s="1">
        <f>C85*COS(RADIANS(E85))*COS(RADIANS(D85))</f>
        <v/>
      </c>
      <c r="I85" s="1">
        <f>C85*SIN(RADIANS(E85))</f>
        <v/>
      </c>
      <c r="J85" s="1">
        <f>C85*COS(RADIANS(E85))*COS(RADIANS(D85-180))</f>
        <v/>
      </c>
      <c r="K85" s="1">
        <f>SUM(K84+G85)</f>
        <v/>
      </c>
      <c r="L85" s="1">
        <f>SUM(L84+H85)</f>
        <v/>
      </c>
      <c r="M85" s="1">
        <f>SUM(M84+I85)</f>
        <v/>
      </c>
      <c r="N85" s="1">
        <f>SUM(J85+N84)</f>
        <v/>
      </c>
      <c r="O85" s="2">
        <f>ROUND(SUM(O84+F85),1)</f>
        <v/>
      </c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inlineStr">
        <is>
          <t>Nazwa: Jaskinia Ziobrowa</t>
        </is>
      </c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inlineStr">
        <is>
          <t>Pomiary: J. Nowak, M. Kubarek,  24. 06. 2007 r.</t>
        </is>
      </c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inlineStr">
        <is>
          <t>Pomiary: J. Nowak, J. Wołek,  14. 07. 2007 r.</t>
        </is>
      </c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inlineStr">
        <is>
          <t>Wysokość: ok. 1104, 1107 m npm</t>
        </is>
      </c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inlineStr">
        <is>
          <t>Wysokość nad dnem wąwozu: ok. 75 m</t>
        </is>
      </c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  <row r="94">
      <c r="A94" s="3" t="n"/>
      <c r="B94" s="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</row>
    <row r="95">
      <c r="A95" s="3" t="n"/>
      <c r="B95" s="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2" t="n"/>
    </row>
    <row r="97">
      <c r="A97" s="3" t="n"/>
      <c r="B97" s="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2" t="n"/>
    </row>
    <row r="98">
      <c r="A98" s="3" t="n"/>
      <c r="B98" s="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2" t="n"/>
    </row>
    <row r="99">
      <c r="A99" s="3" t="n"/>
      <c r="B99" s="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2" t="n"/>
    </row>
    <row r="100">
      <c r="A100" s="3" t="n"/>
      <c r="B100" s="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2" t="n"/>
    </row>
    <row r="101">
      <c r="A101" s="3" t="n"/>
      <c r="B101" s="3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2" t="n"/>
    </row>
    <row r="102">
      <c r="A102" s="3" t="n"/>
      <c r="B102" s="3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2" t="n"/>
    </row>
    <row r="103">
      <c r="A103" s="3" t="n"/>
      <c r="B103" s="3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2" t="n"/>
    </row>
    <row r="104">
      <c r="A104" s="3" t="n"/>
      <c r="B104" s="3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2" t="n"/>
    </row>
    <row r="105">
      <c r="A105" s="3" t="n"/>
      <c r="B105" s="3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2" t="n"/>
    </row>
    <row r="106">
      <c r="A106" s="3" t="n"/>
      <c r="B106" s="3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2" t="n"/>
    </row>
    <row r="107">
      <c r="A107" s="3" t="n"/>
      <c r="B107" s="3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2" t="n"/>
    </row>
    <row r="108">
      <c r="A108" s="3" t="n"/>
      <c r="B108" s="3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