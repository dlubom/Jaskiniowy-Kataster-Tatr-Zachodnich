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zukiwaczy - częś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SUM(C3:C10004)</f>
        <v/>
      </c>
      <c r="Q2" s="2">
        <f>ROUND(MIN(M2:M10004),1)</f>
        <v/>
      </c>
      <c r="R2" s="2">
        <f>ROUND(MAX(M2:M10004),1)</f>
        <v/>
      </c>
      <c r="S2" s="2">
        <f>ABS((R2)-(Q2))</f>
        <v/>
      </c>
      <c r="T2">
        <f>ROUND(ABS(MAX(K2:K10004)-MIN(K2:K10004)),1)</f>
        <v/>
      </c>
      <c r="U2">
        <f>ROUND(ABS(MAX(L2:L10004)-MIN(L2:L10004)),1)</f>
        <v/>
      </c>
    </row>
    <row r="3">
      <c r="A3" s="3" t="inlineStr">
        <is>
          <t>0 - otwór</t>
        </is>
      </c>
      <c r="B3" s="3" t="inlineStr">
        <is>
          <t>1</t>
        </is>
      </c>
      <c r="C3" s="1" t="n">
        <v>11.15</v>
      </c>
      <c r="D3" s="4" t="n">
        <v>206</v>
      </c>
      <c r="E3" s="4" t="n">
        <v>-5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  <c r="P3" s="1" t="n">
        <v>125</v>
      </c>
    </row>
    <row r="4">
      <c r="A4" s="3" t="inlineStr">
        <is>
          <t>1</t>
        </is>
      </c>
      <c r="B4" s="3" t="inlineStr">
        <is>
          <t>2</t>
        </is>
      </c>
      <c r="C4" s="1" t="n">
        <v>8.300000000000001</v>
      </c>
      <c r="D4" s="4" t="n">
        <v>212</v>
      </c>
      <c r="E4" s="4" t="n">
        <v>15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4.25</v>
      </c>
      <c r="D5" s="4" t="n">
        <v>274</v>
      </c>
      <c r="E5" s="4" t="n">
        <v>-11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inlineStr">
        <is>
          <t>3</t>
        </is>
      </c>
      <c r="B6" s="3" t="inlineStr">
        <is>
          <t>4</t>
        </is>
      </c>
      <c r="C6" s="1" t="n">
        <v>6.85</v>
      </c>
      <c r="D6" s="4" t="n">
        <v>271</v>
      </c>
      <c r="E6" s="4" t="n">
        <v>-21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Q6" s="4" t="n"/>
    </row>
    <row r="7">
      <c r="A7" s="3" t="inlineStr">
        <is>
          <t>4</t>
        </is>
      </c>
      <c r="B7" s="3" t="inlineStr">
        <is>
          <t>5</t>
        </is>
      </c>
      <c r="C7" s="1" t="n">
        <v>6.85</v>
      </c>
      <c r="D7" s="4" t="n">
        <v>279</v>
      </c>
      <c r="E7" s="4" t="n">
        <v>-15</v>
      </c>
      <c r="F7" s="1">
        <f>C7*COS(RADIANS(E7))</f>
        <v/>
      </c>
      <c r="G7" s="1">
        <f>C7*COS(RADIANS(E7)) *SIN(RADIANS(D7))</f>
        <v/>
      </c>
      <c r="H7" s="1">
        <f>C7*COS(RADIANS(E7))*COS(RADIANS(D7))</f>
        <v/>
      </c>
      <c r="I7" s="1">
        <f>C7*SIN(RADIANS(E7))</f>
        <v/>
      </c>
      <c r="J7" s="1">
        <f>C7*COS(RADIANS(E7))*COS(RADIANS(D7-180))</f>
        <v/>
      </c>
      <c r="K7" s="1">
        <f>SUM(K6+G7)</f>
        <v/>
      </c>
      <c r="L7" s="1">
        <f>SUM(L6+H7)</f>
        <v/>
      </c>
      <c r="M7" s="1">
        <f>SUM(M6+I7)</f>
        <v/>
      </c>
      <c r="N7" s="1">
        <f>SUM(J7+N6)</f>
        <v/>
      </c>
      <c r="O7" s="2">
        <f>ROUND(SUM(O6+F7),1)</f>
        <v/>
      </c>
      <c r="Q7" s="4" t="n"/>
    </row>
    <row r="8">
      <c r="A8" s="3" t="inlineStr">
        <is>
          <t>5</t>
        </is>
      </c>
      <c r="B8" s="3" t="inlineStr">
        <is>
          <t>6</t>
        </is>
      </c>
      <c r="C8" s="1" t="n">
        <v>6.13</v>
      </c>
      <c r="D8" s="4" t="n">
        <v>268</v>
      </c>
      <c r="E8" s="4" t="n">
        <v>25</v>
      </c>
      <c r="F8" s="1">
        <f>C8*COS(RADIANS(E8))</f>
        <v/>
      </c>
      <c r="G8" s="1">
        <f>C8*COS(RADIANS(E8)) *SIN(RADIANS(D8))</f>
        <v/>
      </c>
      <c r="H8" s="1">
        <f>C8*COS(RADIANS(E8))*COS(RADIANS(D8))</f>
        <v/>
      </c>
      <c r="I8" s="1">
        <f>C8*SIN(RADIANS(E8))</f>
        <v/>
      </c>
      <c r="J8" s="1">
        <f>C8*COS(RADIANS(E8))*COS(RADIANS(D8-180))</f>
        <v/>
      </c>
      <c r="K8" s="1">
        <f>SUM(K7+G8)</f>
        <v/>
      </c>
      <c r="L8" s="1">
        <f>SUM(L7+H8)</f>
        <v/>
      </c>
      <c r="M8" s="1">
        <f>SUM(M7+I8)</f>
        <v/>
      </c>
      <c r="N8" s="1">
        <f>SUM(J8+N7)</f>
        <v/>
      </c>
      <c r="O8" s="2">
        <f>ROUND(SUM(O7+F8),1)</f>
        <v/>
      </c>
      <c r="Q8" s="4" t="n"/>
    </row>
    <row r="9">
      <c r="A9" s="3" t="inlineStr">
        <is>
          <t>6</t>
        </is>
      </c>
      <c r="B9" s="3" t="inlineStr">
        <is>
          <t>7</t>
        </is>
      </c>
      <c r="C9" s="1" t="n">
        <v>3.6</v>
      </c>
      <c r="D9" s="4" t="n">
        <v>257</v>
      </c>
      <c r="E9" s="4" t="n">
        <v>-8</v>
      </c>
      <c r="F9" s="1">
        <f>C9*COS(RADIANS(E9))</f>
        <v/>
      </c>
      <c r="G9" s="1">
        <f>C9*COS(RADIANS(E9)) *SIN(RADIANS(D9))</f>
        <v/>
      </c>
      <c r="H9" s="1">
        <f>C9*COS(RADIANS(E9))*COS(RADIANS(D9))</f>
        <v/>
      </c>
      <c r="I9" s="1">
        <f>C9*SIN(RADIANS(E9))</f>
        <v/>
      </c>
      <c r="J9" s="1">
        <f>C9*COS(RADIANS(E9))*COS(RADIANS(D9-180))</f>
        <v/>
      </c>
      <c r="K9" s="1">
        <f>SUM(K8+G9)</f>
        <v/>
      </c>
      <c r="L9" s="1">
        <f>SUM(L8+H9)</f>
        <v/>
      </c>
      <c r="M9" s="1">
        <f>SUM(M8+I9)</f>
        <v/>
      </c>
      <c r="N9" s="1">
        <f>SUM(J9+N8)</f>
        <v/>
      </c>
      <c r="O9" s="2">
        <f>ROUND(SUM(O8+F9),1)</f>
        <v/>
      </c>
      <c r="Q9" s="4" t="n"/>
    </row>
    <row r="10">
      <c r="A10" s="3" t="inlineStr">
        <is>
          <t>7</t>
        </is>
      </c>
      <c r="B10" s="3" t="inlineStr">
        <is>
          <t>8</t>
        </is>
      </c>
      <c r="C10" s="1" t="n">
        <v>3.85</v>
      </c>
      <c r="D10" s="4" t="n">
        <v>0</v>
      </c>
      <c r="E10" s="4" t="n">
        <v>-90</v>
      </c>
      <c r="F10" s="1">
        <f>C10*COS(RADIANS(E10))</f>
        <v/>
      </c>
      <c r="G10" s="1">
        <f>C10*COS(RADIANS(E10)) *SIN(RADIANS(D10))</f>
        <v/>
      </c>
      <c r="H10" s="1">
        <f>C10*COS(RADIANS(E10))*COS(RADIANS(D10))</f>
        <v/>
      </c>
      <c r="I10" s="1">
        <f>C10*SIN(RADIANS(E10))</f>
        <v/>
      </c>
      <c r="J10" s="1">
        <f>C10*COS(RADIANS(E10))*COS(RADIANS(D10-180))</f>
        <v/>
      </c>
      <c r="K10" s="1">
        <f>SUM(K9+G10)</f>
        <v/>
      </c>
      <c r="L10" s="1">
        <f>SUM(L9+H10)</f>
        <v/>
      </c>
      <c r="M10" s="1">
        <f>SUM(M9+I10)</f>
        <v/>
      </c>
      <c r="N10" s="1">
        <f>SUM(J10+N9)</f>
        <v/>
      </c>
      <c r="O10" s="2">
        <f>ROUND(SUM(O9+F10),1)</f>
        <v/>
      </c>
      <c r="Q10" s="4" t="n"/>
    </row>
    <row r="11">
      <c r="A11" s="3" t="inlineStr">
        <is>
          <t>8</t>
        </is>
      </c>
      <c r="B11" s="3" t="inlineStr">
        <is>
          <t>9</t>
        </is>
      </c>
      <c r="C11" s="1" t="n">
        <v>1.65</v>
      </c>
      <c r="D11" s="4" t="n">
        <v>0</v>
      </c>
      <c r="E11" s="4" t="n">
        <v>-90</v>
      </c>
      <c r="F11" s="1">
        <f>C11*COS(RADIANS(E11))</f>
        <v/>
      </c>
      <c r="G11" s="1">
        <f>C11*COS(RADIANS(E11)) *SIN(RADIANS(D11))</f>
        <v/>
      </c>
      <c r="H11" s="1">
        <f>C11*COS(RADIANS(E11))*COS(RADIANS(D11))</f>
        <v/>
      </c>
      <c r="I11" s="1">
        <f>C11*SIN(RADIANS(E11))</f>
        <v/>
      </c>
      <c r="J11" s="1">
        <f>C11*COS(RADIANS(E11))*COS(RADIANS(D11-180))</f>
        <v/>
      </c>
      <c r="K11" s="1">
        <f>SUM(K10+G11)</f>
        <v/>
      </c>
      <c r="L11" s="1">
        <f>SUM(L10+H11)</f>
        <v/>
      </c>
      <c r="M11" s="1">
        <f>SUM(M10+I11)</f>
        <v/>
      </c>
      <c r="N11" s="1">
        <f>SUM(J11+N10)</f>
        <v/>
      </c>
      <c r="O11" s="2">
        <f>ROUND(SUM(O10+F11),1)</f>
        <v/>
      </c>
      <c r="P11" t="inlineStr">
        <is>
          <t>spąg - koniec wg I. Luty</t>
        </is>
      </c>
      <c r="Q11" s="4" t="n"/>
    </row>
    <row r="12">
      <c r="A12" s="3" t="n"/>
      <c r="B12" s="3" t="n"/>
      <c r="C12" s="1" t="n"/>
      <c r="D12" s="4" t="n"/>
      <c r="E12" s="4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2" t="n"/>
      <c r="Q12" s="4" t="n"/>
    </row>
    <row r="13">
      <c r="A13" s="3" t="n"/>
      <c r="B13" s="3" t="inlineStr">
        <is>
          <t>8</t>
        </is>
      </c>
      <c r="C13" s="1" t="n"/>
      <c r="D13" s="4" t="n"/>
      <c r="E13" s="4" t="n"/>
      <c r="F13" s="1" t="n"/>
      <c r="G13" s="1" t="n"/>
      <c r="H13" s="1" t="n"/>
      <c r="I13" s="1" t="n"/>
      <c r="J13" s="1" t="n"/>
      <c r="K13" s="1" t="n">
        <v>-35.23451218463401</v>
      </c>
      <c r="L13" s="1" t="n">
        <v>-16.34051940614265</v>
      </c>
      <c r="M13" s="1" t="n">
        <v>-5.622630819959103</v>
      </c>
      <c r="N13" s="1">
        <f>SUM(J13+N12)</f>
        <v/>
      </c>
      <c r="O13" s="2">
        <f>ROUND(SUM(O12+F13),1)</f>
        <v/>
      </c>
      <c r="P13" t="inlineStr">
        <is>
          <t>29.05.2011</t>
        </is>
      </c>
      <c r="Q13" s="4" t="n"/>
    </row>
    <row r="14">
      <c r="A14" s="3" t="inlineStr">
        <is>
          <t>8</t>
        </is>
      </c>
      <c r="B14" s="3" t="inlineStr">
        <is>
          <t>8.11</t>
        </is>
      </c>
      <c r="C14" s="1" t="n">
        <v>2.4</v>
      </c>
      <c r="D14" s="4" t="n">
        <v>235</v>
      </c>
      <c r="E14" s="4" t="n">
        <v>-42</v>
      </c>
      <c r="F14" s="1">
        <f>C14*COS(RADIANS(E14))</f>
        <v/>
      </c>
      <c r="G14" s="1">
        <f>C14*COS(RADIANS(E14)) *SIN(RADIANS(D14))</f>
        <v/>
      </c>
      <c r="H14" s="1">
        <f>C14*COS(RADIANS(E14))*COS(RADIANS(D14))</f>
        <v/>
      </c>
      <c r="I14" s="1">
        <f>C14*SIN(RADIANS(E14))</f>
        <v/>
      </c>
      <c r="J14" s="1">
        <f>C14*COS(RADIANS(E14))*COS(RADIANS(D14-180))</f>
        <v/>
      </c>
      <c r="K14" s="1">
        <f>SUM(K13+G14)</f>
        <v/>
      </c>
      <c r="L14" s="1">
        <f>SUM(L13+H14)</f>
        <v/>
      </c>
      <c r="M14" s="1">
        <f>SUM(M13+I14)</f>
        <v/>
      </c>
      <c r="N14" s="1">
        <f>SUM(J14+N13)</f>
        <v/>
      </c>
      <c r="O14" s="2">
        <f>ROUND(SUM(O13+F14),1)</f>
        <v/>
      </c>
      <c r="P14" t="inlineStr">
        <is>
          <t>29.05.2011</t>
        </is>
      </c>
      <c r="Q14" s="4" t="n"/>
    </row>
    <row r="15">
      <c r="A15" s="3" t="inlineStr">
        <is>
          <t>8.11</t>
        </is>
      </c>
      <c r="B15" s="3" t="inlineStr">
        <is>
          <t>8.12</t>
        </is>
      </c>
      <c r="C15" s="1" t="n">
        <v>1.8</v>
      </c>
      <c r="D15" s="4" t="n">
        <v>0</v>
      </c>
      <c r="E15" s="4" t="n">
        <v>-90</v>
      </c>
      <c r="F15" s="1">
        <f>C15*COS(RADIANS(E15))</f>
        <v/>
      </c>
      <c r="G15" s="1">
        <f>C15*COS(RADIANS(E15)) *SIN(RADIANS(D15))</f>
        <v/>
      </c>
      <c r="H15" s="1">
        <f>C15*COS(RADIANS(E15))*COS(RADIANS(D15))</f>
        <v/>
      </c>
      <c r="I15" s="1">
        <f>C15*SIN(RADIANS(E15))</f>
        <v/>
      </c>
      <c r="J15" s="1">
        <f>C15*COS(RADIANS(E15))*COS(RADIANS(D15-180))</f>
        <v/>
      </c>
      <c r="K15" s="1">
        <f>SUM(K14+G15)</f>
        <v/>
      </c>
      <c r="L15" s="1">
        <f>SUM(L14+H15)</f>
        <v/>
      </c>
      <c r="M15" s="1">
        <f>SUM(M14+I15)</f>
        <v/>
      </c>
      <c r="N15" s="1">
        <f>SUM(J15+N14)</f>
        <v/>
      </c>
      <c r="O15" s="2">
        <f>ROUND(SUM(O14+F15),1)</f>
        <v/>
      </c>
      <c r="P15" t="inlineStr">
        <is>
          <t>29.05.2011</t>
        </is>
      </c>
      <c r="Q15" s="4" t="n"/>
    </row>
    <row r="16">
      <c r="A16" s="3" t="inlineStr">
        <is>
          <t>8.12</t>
        </is>
      </c>
      <c r="B16" s="3" t="inlineStr">
        <is>
          <t>8.13</t>
        </is>
      </c>
      <c r="C16" s="1" t="n">
        <v>2</v>
      </c>
      <c r="D16" s="4" t="n">
        <v>290</v>
      </c>
      <c r="E16" s="4" t="n">
        <v>-50</v>
      </c>
      <c r="F16" s="1">
        <f>C16*COS(RADIANS(E16))</f>
        <v/>
      </c>
      <c r="G16" s="1">
        <f>C16*COS(RADIANS(E16)) *SIN(RADIANS(D16))</f>
        <v/>
      </c>
      <c r="H16" s="1">
        <f>C16*COS(RADIANS(E16))*COS(RADIANS(D16))</f>
        <v/>
      </c>
      <c r="I16" s="1">
        <f>C16*SIN(RADIANS(E16))</f>
        <v/>
      </c>
      <c r="J16" s="1">
        <f>C16*COS(RADIANS(E16))*COS(RADIANS(D16-180))</f>
        <v/>
      </c>
      <c r="K16" s="1">
        <f>SUM(K15+G16)</f>
        <v/>
      </c>
      <c r="L16" s="1">
        <f>SUM(L15+H16)</f>
        <v/>
      </c>
      <c r="M16" s="1">
        <f>SUM(M15+I16)</f>
        <v/>
      </c>
      <c r="N16" s="1">
        <f>SUM(J16+N15)</f>
        <v/>
      </c>
      <c r="O16" s="2">
        <f>ROUND(SUM(O15+F16),1)</f>
        <v/>
      </c>
      <c r="P16" t="inlineStr">
        <is>
          <t>29.05.2011</t>
        </is>
      </c>
      <c r="Q16" s="4" t="n"/>
    </row>
    <row r="17">
      <c r="A17" s="3" t="inlineStr">
        <is>
          <t>8.13</t>
        </is>
      </c>
      <c r="B17" s="3" t="inlineStr">
        <is>
          <t>8.14</t>
        </is>
      </c>
      <c r="C17" s="1" t="n">
        <v>1.5</v>
      </c>
      <c r="D17" s="4" t="n">
        <v>270</v>
      </c>
      <c r="E17" s="4" t="n">
        <v>20</v>
      </c>
      <c r="F17" s="1">
        <f>C17*COS(RADIANS(E17))</f>
        <v/>
      </c>
      <c r="G17" s="1">
        <f>C17*COS(RADIANS(E17)) *SIN(RADIANS(D17))</f>
        <v/>
      </c>
      <c r="H17" s="1">
        <f>C17*COS(RADIANS(E17))*COS(RADIANS(D17))</f>
        <v/>
      </c>
      <c r="I17" s="1">
        <f>C17*SIN(RADIANS(E17))</f>
        <v/>
      </c>
      <c r="J17" s="1">
        <f>C17*COS(RADIANS(E17))*COS(RADIANS(D17-180))</f>
        <v/>
      </c>
      <c r="K17" s="1">
        <f>SUM(K16+G17)</f>
        <v/>
      </c>
      <c r="L17" s="1">
        <f>SUM(L16+H17)</f>
        <v/>
      </c>
      <c r="M17" s="1">
        <f>SUM(M16+I17)</f>
        <v/>
      </c>
      <c r="N17" s="1">
        <f>SUM(J17+N16)</f>
        <v/>
      </c>
      <c r="O17" s="2">
        <f>ROUND(SUM(O16+F17),1)</f>
        <v/>
      </c>
      <c r="P17" t="inlineStr">
        <is>
          <t>29.05.2011</t>
        </is>
      </c>
      <c r="Q17" s="4" t="n"/>
    </row>
    <row r="18">
      <c r="A18" s="3" t="n"/>
      <c r="B18" s="3" t="n"/>
      <c r="C18" s="1" t="n"/>
      <c r="D18" s="4" t="n"/>
      <c r="E18" s="4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2" t="n"/>
      <c r="P18" t="inlineStr">
        <is>
          <t>29.05.2011</t>
        </is>
      </c>
      <c r="Q18" s="4" t="n"/>
    </row>
    <row r="19">
      <c r="A19" s="3" t="n"/>
      <c r="B19" s="3" t="inlineStr">
        <is>
          <t>8.12</t>
        </is>
      </c>
      <c r="C19" s="1" t="n"/>
      <c r="D19" s="4" t="n"/>
      <c r="E19" s="4" t="n"/>
      <c r="F19" s="1" t="n"/>
      <c r="G19" s="1" t="n"/>
      <c r="H19" s="1" t="n"/>
      <c r="I19" s="1" t="n"/>
      <c r="J19" s="1" t="n"/>
      <c r="K19" s="1" t="n">
        <v>-36.69550883181623</v>
      </c>
      <c r="L19" s="1" t="n">
        <v>-17.36352027179876</v>
      </c>
      <c r="M19" s="1" t="n">
        <v>-9.028544275220364</v>
      </c>
      <c r="N19" s="1">
        <f>SUM(J19+N18)</f>
        <v/>
      </c>
      <c r="O19" s="2">
        <f>ROUND(SUM(O18+F19),1)</f>
        <v/>
      </c>
      <c r="P19" t="inlineStr">
        <is>
          <t>29.05.2011</t>
        </is>
      </c>
      <c r="Q19" s="4" t="n"/>
    </row>
    <row r="20">
      <c r="A20" s="3" t="inlineStr">
        <is>
          <t>8.12</t>
        </is>
      </c>
      <c r="B20" s="3" t="inlineStr">
        <is>
          <t>8.12.1</t>
        </is>
      </c>
      <c r="C20" s="1" t="n">
        <v>1.6</v>
      </c>
      <c r="D20" s="4" t="n">
        <v>90</v>
      </c>
      <c r="E20" s="4" t="n">
        <v>0</v>
      </c>
      <c r="F20" s="1">
        <f>C20*COS(RADIANS(E20))</f>
        <v/>
      </c>
      <c r="G20" s="1">
        <f>C20*COS(RADIANS(E20)) *SIN(RADIANS(D20))</f>
        <v/>
      </c>
      <c r="H20" s="1">
        <f>C20*COS(RADIANS(E20))*COS(RADIANS(D20))</f>
        <v/>
      </c>
      <c r="I20" s="1">
        <f>C20*SIN(RADIANS(E20))</f>
        <v/>
      </c>
      <c r="J20" s="1">
        <f>C20*COS(RADIANS(E20))*COS(RADIANS(D20-180))</f>
        <v/>
      </c>
      <c r="K20" s="1">
        <f>SUM(K19+G20)</f>
        <v/>
      </c>
      <c r="L20" s="1">
        <f>SUM(L19+H20)</f>
        <v/>
      </c>
      <c r="M20" s="1">
        <f>SUM(M19+I20)</f>
        <v/>
      </c>
      <c r="N20" s="1">
        <f>SUM(J20+N19)</f>
        <v/>
      </c>
      <c r="O20" s="2">
        <f>ROUND(SUM(O19+F20),1)</f>
        <v/>
      </c>
      <c r="P20" t="inlineStr">
        <is>
          <t>29.05.2011</t>
        </is>
      </c>
      <c r="Q20" s="4" t="n"/>
    </row>
    <row r="21">
      <c r="A21" s="3" t="n"/>
      <c r="B21" s="3" t="n"/>
      <c r="C21" s="1" t="n"/>
      <c r="D21" s="4" t="n"/>
      <c r="E21" s="4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2" t="n"/>
      <c r="Q21" s="4" t="n"/>
    </row>
    <row r="22">
      <c r="A22" s="3" t="n"/>
      <c r="B22" s="3" t="inlineStr">
        <is>
          <t>8</t>
        </is>
      </c>
      <c r="C22" s="1" t="n"/>
      <c r="D22" s="4" t="n"/>
      <c r="E22" s="4" t="n"/>
      <c r="F22" s="1" t="n"/>
      <c r="G22" s="1" t="n"/>
      <c r="H22" s="1" t="n"/>
      <c r="I22" s="1" t="n"/>
      <c r="J22" s="1" t="n"/>
      <c r="K22" s="1" t="n">
        <v>-35.23451218463401</v>
      </c>
      <c r="L22" s="1" t="n">
        <v>-16.34051940614265</v>
      </c>
      <c r="M22" s="1" t="n">
        <v>-5.622630819959103</v>
      </c>
      <c r="N22" s="1">
        <f>SUM(J22+N21)</f>
        <v/>
      </c>
      <c r="O22" s="2">
        <f>ROUND(SUM(O21+F22),1)</f>
        <v/>
      </c>
      <c r="P22" t="inlineStr">
        <is>
          <t>w notesie</t>
        </is>
      </c>
    </row>
    <row r="23">
      <c r="A23" s="3" t="inlineStr">
        <is>
          <t>8</t>
        </is>
      </c>
      <c r="B23" s="3" t="inlineStr">
        <is>
          <t>8.01</t>
        </is>
      </c>
      <c r="C23" s="1" t="n">
        <v>3.57</v>
      </c>
      <c r="D23" s="4" t="n">
        <v>127</v>
      </c>
      <c r="E23" s="4" t="n">
        <v>-12</v>
      </c>
      <c r="F23" s="1">
        <f>C23*COS(RADIANS(E23))</f>
        <v/>
      </c>
      <c r="G23" s="1">
        <f>C23*COS(RADIANS(E23)) *SIN(RADIANS(D23))</f>
        <v/>
      </c>
      <c r="H23" s="1">
        <f>C23*COS(RADIANS(E23))*COS(RADIANS(D23))</f>
        <v/>
      </c>
      <c r="I23" s="1">
        <f>C23*SIN(RADIANS(E23))</f>
        <v/>
      </c>
      <c r="J23" s="1">
        <f>C23*COS(RADIANS(E23))*COS(RADIANS(D23-180))</f>
        <v/>
      </c>
      <c r="K23" s="1">
        <f>SUM(K22+G23)</f>
        <v/>
      </c>
      <c r="L23" s="1">
        <f>SUM(L22+H23)</f>
        <v/>
      </c>
      <c r="M23" s="1">
        <f>SUM(M22+I23)</f>
        <v/>
      </c>
      <c r="N23" s="1">
        <f>SUM(J23+N22)</f>
        <v/>
      </c>
      <c r="O23" s="2">
        <f>ROUND(SUM(O22+F23),1)</f>
        <v/>
      </c>
      <c r="P23" t="n">
        <v>9</v>
      </c>
    </row>
    <row r="24">
      <c r="A24" s="3" t="inlineStr">
        <is>
          <t>8.01</t>
        </is>
      </c>
      <c r="B24" s="3" t="inlineStr">
        <is>
          <t>8.02</t>
        </is>
      </c>
      <c r="C24" s="1" t="n">
        <v>3.03</v>
      </c>
      <c r="D24" s="4" t="n">
        <v>88</v>
      </c>
      <c r="E24" s="4" t="n">
        <v>0</v>
      </c>
      <c r="F24" s="1">
        <f>C24*COS(RADIANS(E24))</f>
        <v/>
      </c>
      <c r="G24" s="1">
        <f>C24*COS(RADIANS(E24)) *SIN(RADIANS(D24))</f>
        <v/>
      </c>
      <c r="H24" s="1">
        <f>C24*COS(RADIANS(E24))*COS(RADIANS(D24))</f>
        <v/>
      </c>
      <c r="I24" s="1">
        <f>C24*SIN(RADIANS(E24))</f>
        <v/>
      </c>
      <c r="J24" s="1">
        <f>C24*COS(RADIANS(E24))*COS(RADIANS(D24-180))</f>
        <v/>
      </c>
      <c r="K24" s="1">
        <f>SUM(K23+G24)</f>
        <v/>
      </c>
      <c r="L24" s="1">
        <f>SUM(L23+H24)</f>
        <v/>
      </c>
      <c r="M24" s="1">
        <f>SUM(M23+I24)</f>
        <v/>
      </c>
      <c r="N24" s="1">
        <f>SUM(J24+N23)</f>
        <v/>
      </c>
      <c r="O24" s="2">
        <f>ROUND(SUM(O23+F24),1)</f>
        <v/>
      </c>
      <c r="P24" t="n">
        <v>10</v>
      </c>
    </row>
    <row r="25">
      <c r="A25" s="3" t="n"/>
      <c r="B25" s="3" t="n"/>
      <c r="C25" s="1" t="n"/>
      <c r="D25" s="4" t="n"/>
      <c r="E25" s="4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inlineStr">
        <is>
          <t>8</t>
        </is>
      </c>
      <c r="C26" s="1" t="n"/>
      <c r="D26" s="4" t="n"/>
      <c r="E26" s="4" t="n"/>
      <c r="F26" s="1" t="n"/>
      <c r="G26" s="1" t="n"/>
      <c r="H26" s="1" t="n"/>
      <c r="I26" s="1" t="n"/>
      <c r="J26" s="1" t="n"/>
      <c r="K26" s="1" t="n">
        <v>-35.23451218463401</v>
      </c>
      <c r="L26" s="1" t="n">
        <v>-16.34051940614265</v>
      </c>
      <c r="M26" s="1" t="n">
        <v>-5.622630819959103</v>
      </c>
      <c r="N26" s="1">
        <f>SUM(J26+N25)</f>
        <v/>
      </c>
      <c r="O26" s="2">
        <f>ROUND(SUM(O25+F26),1)</f>
        <v/>
      </c>
      <c r="P26" t="inlineStr">
        <is>
          <t>korytarz główny</t>
        </is>
      </c>
    </row>
    <row r="27">
      <c r="A27" s="3" t="inlineStr">
        <is>
          <t>8</t>
        </is>
      </c>
      <c r="B27" s="3" t="inlineStr">
        <is>
          <t>8.1</t>
        </is>
      </c>
      <c r="C27" s="1" t="n">
        <v>3.93</v>
      </c>
      <c r="D27" s="4" t="n">
        <v>273</v>
      </c>
      <c r="E27" s="4" t="n">
        <v>3</v>
      </c>
      <c r="F27" s="1">
        <f>C27*COS(RADIANS(E27))</f>
        <v/>
      </c>
      <c r="G27" s="1">
        <f>C27*COS(RADIANS(E27)) *SIN(RADIANS(D27))</f>
        <v/>
      </c>
      <c r="H27" s="1">
        <f>C27*COS(RADIANS(E27))*COS(RADIANS(D27))</f>
        <v/>
      </c>
      <c r="I27" s="1">
        <f>C27*SIN(RADIANS(E27))</f>
        <v/>
      </c>
      <c r="J27" s="1">
        <f>C27*COS(RADIANS(E27))*COS(RADIANS(D27-180))</f>
        <v/>
      </c>
      <c r="K27" s="1">
        <f>SUM(K26+G27)</f>
        <v/>
      </c>
      <c r="L27" s="1">
        <f>SUM(L26+H27)</f>
        <v/>
      </c>
      <c r="M27" s="1">
        <f>SUM(M26+I27)</f>
        <v/>
      </c>
      <c r="N27" s="1">
        <f>SUM(J27+N26)</f>
        <v/>
      </c>
      <c r="O27" s="2">
        <f>ROUND(SUM(O26+F27),1)</f>
        <v/>
      </c>
      <c r="P27" t="n">
        <v>11</v>
      </c>
    </row>
    <row r="28">
      <c r="A28" s="3" t="inlineStr">
        <is>
          <t>8.1</t>
        </is>
      </c>
      <c r="B28" s="3" t="inlineStr">
        <is>
          <t>8.2</t>
        </is>
      </c>
      <c r="C28" s="1" t="n">
        <v>4.85</v>
      </c>
      <c r="D28" s="4" t="n">
        <v>288</v>
      </c>
      <c r="E28" s="4" t="n">
        <v>-10</v>
      </c>
      <c r="F28" s="1">
        <f>C28*COS(RADIANS(E28))</f>
        <v/>
      </c>
      <c r="G28" s="1">
        <f>C28*COS(RADIANS(E28)) *SIN(RADIANS(D28))</f>
        <v/>
      </c>
      <c r="H28" s="1">
        <f>C28*COS(RADIANS(E28))*COS(RADIANS(D28))</f>
        <v/>
      </c>
      <c r="I28" s="1">
        <f>C28*SIN(RADIANS(E28))</f>
        <v/>
      </c>
      <c r="J28" s="1">
        <f>C28*COS(RADIANS(E28))*COS(RADIANS(D28-180))</f>
        <v/>
      </c>
      <c r="K28" s="1">
        <f>SUM(K27+G28)</f>
        <v/>
      </c>
      <c r="L28" s="1">
        <f>SUM(L27+H28)</f>
        <v/>
      </c>
      <c r="M28" s="1">
        <f>SUM(M27+I28)</f>
        <v/>
      </c>
      <c r="N28" s="1">
        <f>SUM(J28+N27)</f>
        <v/>
      </c>
      <c r="O28" s="2">
        <f>ROUND(SUM(O27+F28),1)</f>
        <v/>
      </c>
      <c r="P28" t="n">
        <v>12</v>
      </c>
    </row>
    <row r="29">
      <c r="A29" s="3" t="inlineStr">
        <is>
          <t>8.2</t>
        </is>
      </c>
      <c r="B29" s="3" t="inlineStr">
        <is>
          <t>8.3</t>
        </is>
      </c>
      <c r="C29" s="1" t="n">
        <v>2.45</v>
      </c>
      <c r="D29" s="4" t="n">
        <v>255</v>
      </c>
      <c r="E29" s="4" t="n">
        <v>24</v>
      </c>
      <c r="F29" s="1">
        <f>C29*COS(RADIANS(E29))</f>
        <v/>
      </c>
      <c r="G29" s="1">
        <f>C29*COS(RADIANS(E29)) *SIN(RADIANS(D29))</f>
        <v/>
      </c>
      <c r="H29" s="1">
        <f>C29*COS(RADIANS(E29))*COS(RADIANS(D29))</f>
        <v/>
      </c>
      <c r="I29" s="1">
        <f>C29*SIN(RADIANS(E29))</f>
        <v/>
      </c>
      <c r="J29" s="1">
        <f>C29*COS(RADIANS(E29))*COS(RADIANS(D29-180))</f>
        <v/>
      </c>
      <c r="K29" s="1">
        <f>SUM(K28+G29)</f>
        <v/>
      </c>
      <c r="L29" s="1">
        <f>SUM(L28+H29)</f>
        <v/>
      </c>
      <c r="M29" s="1">
        <f>SUM(M28+I29)</f>
        <v/>
      </c>
      <c r="N29" s="1">
        <f>SUM(J29+N28)</f>
        <v/>
      </c>
      <c r="O29" s="2">
        <f>ROUND(SUM(O28+F29),1)</f>
        <v/>
      </c>
      <c r="P29" t="n">
        <v>13</v>
      </c>
    </row>
    <row r="30">
      <c r="A30" s="3" t="inlineStr">
        <is>
          <t>8.3</t>
        </is>
      </c>
      <c r="B30" s="3" t="inlineStr">
        <is>
          <t>8.4</t>
        </is>
      </c>
      <c r="C30" s="1" t="n">
        <v>2.6</v>
      </c>
      <c r="D30" s="4" t="n">
        <v>257</v>
      </c>
      <c r="E30" s="4" t="n">
        <v>22</v>
      </c>
      <c r="F30" s="1">
        <f>C30*COS(RADIANS(E30))</f>
        <v/>
      </c>
      <c r="G30" s="1">
        <f>C30*COS(RADIANS(E30)) *SIN(RADIANS(D30))</f>
        <v/>
      </c>
      <c r="H30" s="1">
        <f>C30*COS(RADIANS(E30))*COS(RADIANS(D30))</f>
        <v/>
      </c>
      <c r="I30" s="1">
        <f>C30*SIN(RADIANS(E30))</f>
        <v/>
      </c>
      <c r="J30" s="1">
        <f>C30*COS(RADIANS(E30))*COS(RADIANS(D30-180))</f>
        <v/>
      </c>
      <c r="K30" s="1">
        <f>SUM(K29+G30)</f>
        <v/>
      </c>
      <c r="L30" s="1">
        <f>SUM(L29+H30)</f>
        <v/>
      </c>
      <c r="M30" s="1">
        <f>SUM(M29+I30)</f>
        <v/>
      </c>
      <c r="N30" s="1">
        <f>SUM(J30+N29)</f>
        <v/>
      </c>
      <c r="O30" s="2">
        <f>ROUND(SUM(O29+F30),1)</f>
        <v/>
      </c>
      <c r="P30" t="n">
        <v>14</v>
      </c>
    </row>
    <row r="31">
      <c r="A31" s="3" t="inlineStr">
        <is>
          <t>8.4</t>
        </is>
      </c>
      <c r="B31" s="3" t="inlineStr">
        <is>
          <t>8.5</t>
        </is>
      </c>
      <c r="C31" s="1" t="n">
        <v>1.5</v>
      </c>
      <c r="D31" s="4" t="n">
        <v>255</v>
      </c>
      <c r="E31" s="4" t="n">
        <v>0</v>
      </c>
      <c r="F31" s="1">
        <f>C31*COS(RADIANS(E31))</f>
        <v/>
      </c>
      <c r="G31" s="1">
        <f>C31*COS(RADIANS(E31)) *SIN(RADIANS(D31))</f>
        <v/>
      </c>
      <c r="H31" s="1">
        <f>C31*COS(RADIANS(E31))*COS(RADIANS(D31))</f>
        <v/>
      </c>
      <c r="I31" s="1">
        <f>C31*SIN(RADIANS(E31))</f>
        <v/>
      </c>
      <c r="J31" s="1">
        <f>C31*COS(RADIANS(E31))*COS(RADIANS(D31-180))</f>
        <v/>
      </c>
      <c r="K31" s="1">
        <f>SUM(K30+G31)</f>
        <v/>
      </c>
      <c r="L31" s="1">
        <f>SUM(L30+H31)</f>
        <v/>
      </c>
      <c r="M31" s="1">
        <f>SUM(M30+I31)</f>
        <v/>
      </c>
      <c r="N31" s="1">
        <f>SUM(J31+N30)</f>
        <v/>
      </c>
      <c r="O31" s="2">
        <f>ROUND(SUM(O30+F31),1)</f>
        <v/>
      </c>
      <c r="P31" t="n">
        <v>15</v>
      </c>
    </row>
    <row r="32">
      <c r="A32" s="3" t="n"/>
      <c r="B32" s="3" t="n"/>
      <c r="C32" s="1" t="n"/>
      <c r="D32" s="4" t="n"/>
      <c r="E32" s="4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inlineStr">
        <is>
          <t>8.2</t>
        </is>
      </c>
      <c r="C33" s="1" t="n"/>
      <c r="D33" s="4" t="n"/>
      <c r="E33" s="4" t="n"/>
      <c r="F33" s="1" t="n"/>
      <c r="G33" s="1" t="n"/>
      <c r="H33" s="1" t="n"/>
      <c r="I33" s="1" t="n"/>
      <c r="J33" s="1" t="n"/>
      <c r="K33" s="1" t="n">
        <v>-43.69629568841387</v>
      </c>
      <c r="L33" s="1" t="n">
        <v>-14.65915766623777</v>
      </c>
      <c r="M33" s="1" t="n">
        <v>-6.259144173608946</v>
      </c>
      <c r="N33" s="1">
        <f>SUM(J33+N32)</f>
        <v/>
      </c>
      <c r="O33" s="2">
        <f>ROUND(SUM(O32+F33),1)</f>
        <v/>
      </c>
      <c r="P33" s="1" t="inlineStr">
        <is>
          <t>rura</t>
        </is>
      </c>
    </row>
    <row r="34">
      <c r="A34" s="3" t="inlineStr">
        <is>
          <t>8.2</t>
        </is>
      </c>
      <c r="B34" s="3" t="inlineStr">
        <is>
          <t>8.2.1</t>
        </is>
      </c>
      <c r="C34" s="1" t="n">
        <v>5.1</v>
      </c>
      <c r="D34" s="4" t="n">
        <v>33</v>
      </c>
      <c r="E34" s="4" t="n">
        <v>-31</v>
      </c>
      <c r="F34" s="1">
        <f>C34*COS(RADIANS(E34))</f>
        <v/>
      </c>
      <c r="G34" s="1">
        <f>C34*COS(RADIANS(E34)) *SIN(RADIANS(D34))</f>
        <v/>
      </c>
      <c r="H34" s="1">
        <f>C34*COS(RADIANS(E34))*COS(RADIANS(D34))</f>
        <v/>
      </c>
      <c r="I34" s="1">
        <f>C34*SIN(RADIANS(E34))</f>
        <v/>
      </c>
      <c r="J34" s="1">
        <f>C34*COS(RADIANS(E34))*COS(RADIANS(D34-180))</f>
        <v/>
      </c>
      <c r="K34" s="1">
        <f>SUM(K33+G34)</f>
        <v/>
      </c>
      <c r="L34" s="1">
        <f>SUM(L33+H34)</f>
        <v/>
      </c>
      <c r="M34" s="1">
        <f>SUM(M33+I34)</f>
        <v/>
      </c>
      <c r="N34" s="1">
        <f>SUM(J34+N33)</f>
        <v/>
      </c>
      <c r="O34" s="2">
        <f>ROUND(SUM(O33+F34),1)</f>
        <v/>
      </c>
      <c r="P34" s="1" t="inlineStr">
        <is>
          <t>.1</t>
        </is>
      </c>
    </row>
    <row r="35">
      <c r="A35" s="3" t="inlineStr">
        <is>
          <t>8.2.1</t>
        </is>
      </c>
      <c r="B35" s="3" t="inlineStr">
        <is>
          <t>8.2.2</t>
        </is>
      </c>
      <c r="C35" s="1" t="n">
        <v>3.25</v>
      </c>
      <c r="D35" s="4" t="n">
        <v>332</v>
      </c>
      <c r="E35" s="4" t="n">
        <v>-50</v>
      </c>
      <c r="F35" s="1">
        <f>C35*COS(RADIANS(E35))</f>
        <v/>
      </c>
      <c r="G35" s="1">
        <f>C35*COS(RADIANS(E35)) *SIN(RADIANS(D35))</f>
        <v/>
      </c>
      <c r="H35" s="1">
        <f>C35*COS(RADIANS(E35))*COS(RADIANS(D35))</f>
        <v/>
      </c>
      <c r="I35" s="1">
        <f>C35*SIN(RADIANS(E35))</f>
        <v/>
      </c>
      <c r="J35" s="1">
        <f>C35*COS(RADIANS(E35))*COS(RADIANS(D35-180))</f>
        <v/>
      </c>
      <c r="K35" s="1">
        <f>SUM(K34+G35)</f>
        <v/>
      </c>
      <c r="L35" s="1">
        <f>SUM(L34+H35)</f>
        <v/>
      </c>
      <c r="M35" s="1">
        <f>SUM(M34+I35)</f>
        <v/>
      </c>
      <c r="N35" s="1">
        <f>SUM(J35+N34)</f>
        <v/>
      </c>
      <c r="O35" s="2">
        <f>ROUND(SUM(O34+F35),1)</f>
        <v/>
      </c>
      <c r="P35" s="1" t="inlineStr">
        <is>
          <t>.2</t>
        </is>
      </c>
    </row>
    <row r="36">
      <c r="A36" s="3" t="inlineStr">
        <is>
          <t>8.2.2</t>
        </is>
      </c>
      <c r="B36" s="3" t="inlineStr">
        <is>
          <t>8.2.3</t>
        </is>
      </c>
      <c r="C36" s="1" t="n">
        <v>5.1</v>
      </c>
      <c r="D36" s="4" t="n">
        <v>58</v>
      </c>
      <c r="E36" s="4" t="n">
        <v>-23</v>
      </c>
      <c r="F36" s="1">
        <f>C36*COS(RADIANS(E36))</f>
        <v/>
      </c>
      <c r="G36" s="1">
        <f>C36*COS(RADIANS(E36)) *SIN(RADIANS(D36))</f>
        <v/>
      </c>
      <c r="H36" s="1">
        <f>C36*COS(RADIANS(E36))*COS(RADIANS(D36))</f>
        <v/>
      </c>
      <c r="I36" s="1">
        <f>C36*SIN(RADIANS(E36))</f>
        <v/>
      </c>
      <c r="J36" s="1">
        <f>C36*COS(RADIANS(E36))*COS(RADIANS(D36-180))</f>
        <v/>
      </c>
      <c r="K36" s="1">
        <f>SUM(K35+G36)</f>
        <v/>
      </c>
      <c r="L36" s="1">
        <f>SUM(L35+H36)</f>
        <v/>
      </c>
      <c r="M36" s="1">
        <f>SUM(M35+I36)</f>
        <v/>
      </c>
      <c r="N36" s="1">
        <f>SUM(J36+N35)</f>
        <v/>
      </c>
      <c r="O36" s="2">
        <f>ROUND(SUM(O35+F36),1)</f>
        <v/>
      </c>
      <c r="P36" s="1" t="inlineStr">
        <is>
          <t>.3</t>
        </is>
      </c>
    </row>
    <row r="37">
      <c r="A37" s="3" t="inlineStr">
        <is>
          <t>8.2.3</t>
        </is>
      </c>
      <c r="B37" s="3" t="inlineStr">
        <is>
          <t>8.2.4</t>
        </is>
      </c>
      <c r="C37" s="1" t="n">
        <v>2.08</v>
      </c>
      <c r="D37" s="4" t="n">
        <v>57</v>
      </c>
      <c r="E37" s="4" t="n">
        <v>0</v>
      </c>
      <c r="F37" s="1">
        <f>C37*COS(RADIANS(E37))</f>
        <v/>
      </c>
      <c r="G37" s="1">
        <f>C37*COS(RADIANS(E37)) *SIN(RADIANS(D37))</f>
        <v/>
      </c>
      <c r="H37" s="1">
        <f>C37*COS(RADIANS(E37))*COS(RADIANS(D37))</f>
        <v/>
      </c>
      <c r="I37" s="1">
        <f>C37*SIN(RADIANS(E37))</f>
        <v/>
      </c>
      <c r="J37" s="1">
        <f>C37*COS(RADIANS(E37))*COS(RADIANS(D37-180))</f>
        <v/>
      </c>
      <c r="K37" s="1">
        <f>SUM(K36+G37)</f>
        <v/>
      </c>
      <c r="L37" s="1">
        <f>SUM(L36+H37)</f>
        <v/>
      </c>
      <c r="M37" s="1">
        <f>SUM(M36+I37)</f>
        <v/>
      </c>
      <c r="N37" s="1">
        <f>SUM(J37+N36)</f>
        <v/>
      </c>
      <c r="O37" s="2">
        <f>ROUND(SUM(O36+F37),1)</f>
        <v/>
      </c>
      <c r="P37" s="1" t="inlineStr">
        <is>
          <t>.4</t>
        </is>
      </c>
      <c r="Q37" s="1" t="inlineStr">
        <is>
          <t>grzybowa szczelina</t>
        </is>
      </c>
    </row>
    <row r="38">
      <c r="A38" s="3" t="inlineStr">
        <is>
          <t>8.2.4</t>
        </is>
      </c>
      <c r="B38" s="3" t="inlineStr">
        <is>
          <t>8.2.5</t>
        </is>
      </c>
      <c r="C38" s="1" t="n">
        <v>4.75</v>
      </c>
      <c r="D38" s="4" t="n">
        <v>97</v>
      </c>
      <c r="E38" s="4" t="n">
        <v>-30</v>
      </c>
      <c r="F38" s="1">
        <f>C38*COS(RADIANS(E38))</f>
        <v/>
      </c>
      <c r="G38" s="1">
        <f>C38*COS(RADIANS(E38)) *SIN(RADIANS(D38))</f>
        <v/>
      </c>
      <c r="H38" s="1">
        <f>C38*COS(RADIANS(E38))*COS(RADIANS(D38))</f>
        <v/>
      </c>
      <c r="I38" s="1">
        <f>C38*SIN(RADIANS(E38))</f>
        <v/>
      </c>
      <c r="J38" s="1">
        <f>C38*COS(RADIANS(E38))*COS(RADIANS(D38-180))</f>
        <v/>
      </c>
      <c r="K38" s="1">
        <f>SUM(K37+G38)</f>
        <v/>
      </c>
      <c r="L38" s="1">
        <f>SUM(L37+H38)</f>
        <v/>
      </c>
      <c r="M38" s="1">
        <f>SUM(M37+I38)</f>
        <v/>
      </c>
      <c r="N38" s="1">
        <f>SUM(J38+N37)</f>
        <v/>
      </c>
      <c r="O38" s="2">
        <f>ROUND(SUM(O37+F38),1)</f>
        <v/>
      </c>
      <c r="P38" s="1" t="inlineStr">
        <is>
          <t>.5</t>
        </is>
      </c>
    </row>
    <row r="39">
      <c r="A39" s="3" t="inlineStr">
        <is>
          <t>8.2.5</t>
        </is>
      </c>
      <c r="B39" s="3" t="inlineStr">
        <is>
          <t>8.2.6</t>
        </is>
      </c>
      <c r="C39" s="1" t="n">
        <v>3.8</v>
      </c>
      <c r="D39" s="4" t="n">
        <v>86</v>
      </c>
      <c r="E39" s="4" t="n">
        <v>0</v>
      </c>
      <c r="F39" s="1">
        <f>C39*COS(RADIANS(E39))</f>
        <v/>
      </c>
      <c r="G39" s="1">
        <f>C39*COS(RADIANS(E39)) *SIN(RADIANS(D39))</f>
        <v/>
      </c>
      <c r="H39" s="1">
        <f>C39*COS(RADIANS(E39))*COS(RADIANS(D39))</f>
        <v/>
      </c>
      <c r="I39" s="1">
        <f>C39*SIN(RADIANS(E39))</f>
        <v/>
      </c>
      <c r="J39" s="1">
        <f>C39*COS(RADIANS(E39))*COS(RADIANS(D39-180))</f>
        <v/>
      </c>
      <c r="K39" s="1">
        <f>SUM(K38+G39)</f>
        <v/>
      </c>
      <c r="L39" s="1">
        <f>SUM(L38+H39)</f>
        <v/>
      </c>
      <c r="M39" s="1">
        <f>SUM(M38+I39)</f>
        <v/>
      </c>
      <c r="N39" s="1">
        <f>SUM(J39+N38)</f>
        <v/>
      </c>
      <c r="O39" s="2">
        <f>ROUND(SUM(O38+F39),1)</f>
        <v/>
      </c>
      <c r="P39" s="1" t="inlineStr">
        <is>
          <t>.6</t>
        </is>
      </c>
    </row>
    <row r="40">
      <c r="A40" s="3" t="inlineStr">
        <is>
          <t>8.2.6</t>
        </is>
      </c>
      <c r="B40" s="3" t="inlineStr">
        <is>
          <t>8.2.7</t>
        </is>
      </c>
      <c r="C40" s="1" t="n">
        <v>5.5</v>
      </c>
      <c r="D40" s="4" t="n">
        <v>77</v>
      </c>
      <c r="E40" s="4" t="n">
        <v>6</v>
      </c>
      <c r="F40" s="1">
        <f>C40*COS(RADIANS(E40))</f>
        <v/>
      </c>
      <c r="G40" s="1">
        <f>C40*COS(RADIANS(E40)) *SIN(RADIANS(D40))</f>
        <v/>
      </c>
      <c r="H40" s="1">
        <f>C40*COS(RADIANS(E40))*COS(RADIANS(D40))</f>
        <v/>
      </c>
      <c r="I40" s="1">
        <f>C40*SIN(RADIANS(E40))</f>
        <v/>
      </c>
      <c r="J40" s="1">
        <f>C40*COS(RADIANS(E40))*COS(RADIANS(D40-180))</f>
        <v/>
      </c>
      <c r="K40" s="1">
        <f>SUM(K39+G40)</f>
        <v/>
      </c>
      <c r="L40" s="1">
        <f>SUM(L39+H40)</f>
        <v/>
      </c>
      <c r="M40" s="1">
        <f>SUM(M39+I40)</f>
        <v/>
      </c>
      <c r="N40" s="1">
        <f>SUM(J40+N39)</f>
        <v/>
      </c>
      <c r="O40" s="2">
        <f>ROUND(SUM(O39+F40),1)</f>
        <v/>
      </c>
      <c r="P40" s="1" t="inlineStr">
        <is>
          <t>.7</t>
        </is>
      </c>
    </row>
    <row r="41">
      <c r="A41" s="3" t="inlineStr">
        <is>
          <t>8.2.7</t>
        </is>
      </c>
      <c r="B41" s="3" t="inlineStr">
        <is>
          <t>8.2.8</t>
        </is>
      </c>
      <c r="C41" s="1" t="n">
        <v>7</v>
      </c>
      <c r="D41" s="4" t="n">
        <v>65</v>
      </c>
      <c r="E41" s="4" t="n">
        <v>45</v>
      </c>
      <c r="F41" s="1">
        <f>C41*COS(RADIANS(E41))</f>
        <v/>
      </c>
      <c r="G41" s="1">
        <f>C41*COS(RADIANS(E41)) *SIN(RADIANS(D41))</f>
        <v/>
      </c>
      <c r="H41" s="1">
        <f>C41*COS(RADIANS(E41))*COS(RADIANS(D41))</f>
        <v/>
      </c>
      <c r="I41" s="1">
        <f>C41*SIN(RADIANS(E41))</f>
        <v/>
      </c>
      <c r="J41" s="1">
        <f>C41*COS(RADIANS(E41))*COS(RADIANS(D41-180))</f>
        <v/>
      </c>
      <c r="K41" s="1">
        <f>SUM(K40+G41)</f>
        <v/>
      </c>
      <c r="L41" s="1">
        <f>SUM(L40+H41)</f>
        <v/>
      </c>
      <c r="M41" s="1">
        <f>SUM(M40+I41)</f>
        <v/>
      </c>
      <c r="N41" s="1">
        <f>SUM(J41+N40)</f>
        <v/>
      </c>
      <c r="O41" s="2">
        <f>ROUND(SUM(O40+F41),1)</f>
        <v/>
      </c>
      <c r="P41" s="1" t="inlineStr">
        <is>
          <t>.8</t>
        </is>
      </c>
      <c r="Q41" s="1" t="inlineStr">
        <is>
          <t>29.05.2011</t>
        </is>
      </c>
    </row>
    <row r="42">
      <c r="A42" s="3" t="n"/>
      <c r="B42" s="3" t="n"/>
      <c r="C42" s="1" t="n"/>
      <c r="D42" s="4" t="n"/>
      <c r="E42" s="4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  <c r="P42" s="1" t="n"/>
    </row>
    <row r="43">
      <c r="A43" s="3" t="n"/>
      <c r="B43" s="3" t="inlineStr">
        <is>
          <t>8.2.3</t>
        </is>
      </c>
      <c r="C43" s="1" t="n"/>
      <c r="D43" s="4" t="n"/>
      <c r="E43" s="4" t="n"/>
      <c r="F43" s="1" t="n"/>
      <c r="G43" s="1" t="n"/>
      <c r="H43" s="1" t="n"/>
      <c r="I43" s="1" t="n"/>
      <c r="J43" s="1" t="n"/>
      <c r="K43" s="1" t="n">
        <v>-38.31490610943842</v>
      </c>
      <c r="L43" s="1" t="n">
        <v>-6.660588772987523</v>
      </c>
      <c r="M43" s="1" t="n">
        <v>-13.3682115510822</v>
      </c>
      <c r="N43" s="1">
        <f>SUM(J43+N42)</f>
        <v/>
      </c>
      <c r="O43" s="2">
        <f>ROUND(SUM(O42+F43),1)</f>
        <v/>
      </c>
      <c r="P43" s="1" t="inlineStr">
        <is>
          <t>Sala Złomisk</t>
        </is>
      </c>
    </row>
    <row r="44">
      <c r="A44" s="3" t="inlineStr">
        <is>
          <t>8.2.3</t>
        </is>
      </c>
      <c r="B44" s="3" t="inlineStr">
        <is>
          <t>8.2.3.1</t>
        </is>
      </c>
      <c r="C44" s="1" t="n">
        <v>1.75</v>
      </c>
      <c r="D44" s="4" t="n">
        <v>307</v>
      </c>
      <c r="E44" s="4" t="n">
        <v>8</v>
      </c>
      <c r="F44" s="1">
        <f>C44*COS(RADIANS(E44))</f>
        <v/>
      </c>
      <c r="G44" s="1">
        <f>C44*COS(RADIANS(E44)) *SIN(RADIANS(D44))</f>
        <v/>
      </c>
      <c r="H44" s="1">
        <f>C44*COS(RADIANS(E44))*COS(RADIANS(D44))</f>
        <v/>
      </c>
      <c r="I44" s="1">
        <f>C44*SIN(RADIANS(E44))</f>
        <v/>
      </c>
      <c r="J44" s="1">
        <f>C44*COS(RADIANS(E44))*COS(RADIANS(D44-180))</f>
        <v/>
      </c>
      <c r="K44" s="1">
        <f>SUM(K43+G44)</f>
        <v/>
      </c>
      <c r="L44" s="1">
        <f>SUM(L43+H44)</f>
        <v/>
      </c>
      <c r="M44" s="1">
        <f>SUM(M43+I44)</f>
        <v/>
      </c>
      <c r="N44" s="1">
        <f>SUM(J44+N43)</f>
        <v/>
      </c>
      <c r="O44" s="2">
        <f>ROUND(SUM(O43+F44),1)</f>
        <v/>
      </c>
      <c r="P44" s="1" t="inlineStr">
        <is>
          <t>.13</t>
        </is>
      </c>
    </row>
    <row r="45">
      <c r="A45" s="3" t="inlineStr">
        <is>
          <t>8.2.3.1</t>
        </is>
      </c>
      <c r="B45" s="3" t="inlineStr">
        <is>
          <t>8.2.3.2</t>
        </is>
      </c>
      <c r="C45" s="1" t="n">
        <v>5.68</v>
      </c>
      <c r="D45" s="4" t="n">
        <v>295</v>
      </c>
      <c r="E45" s="4" t="n">
        <v>32</v>
      </c>
      <c r="F45" s="1">
        <f>C45*COS(RADIANS(E45))</f>
        <v/>
      </c>
      <c r="G45" s="1">
        <f>C45*COS(RADIANS(E45)) *SIN(RADIANS(D45))</f>
        <v/>
      </c>
      <c r="H45" s="1">
        <f>C45*COS(RADIANS(E45))*COS(RADIANS(D45))</f>
        <v/>
      </c>
      <c r="I45" s="1">
        <f>C45*SIN(RADIANS(E45))</f>
        <v/>
      </c>
      <c r="J45" s="1">
        <f>C45*COS(RADIANS(E45))*COS(RADIANS(D45-180))</f>
        <v/>
      </c>
      <c r="K45" s="1">
        <f>SUM(K44+G45)</f>
        <v/>
      </c>
      <c r="L45" s="1">
        <f>SUM(L44+H45)</f>
        <v/>
      </c>
      <c r="M45" s="1">
        <f>SUM(M44+I45)</f>
        <v/>
      </c>
      <c r="N45" s="1">
        <f>SUM(J45+N44)</f>
        <v/>
      </c>
      <c r="O45" s="2">
        <f>ROUND(SUM(O44+F45),1)</f>
        <v/>
      </c>
      <c r="P45" s="1" t="inlineStr">
        <is>
          <t>.14</t>
        </is>
      </c>
    </row>
    <row r="46">
      <c r="A46" s="3" t="inlineStr">
        <is>
          <t>8.2.3.2</t>
        </is>
      </c>
      <c r="B46" s="3" t="inlineStr">
        <is>
          <t>8.2.3.3</t>
        </is>
      </c>
      <c r="C46" s="1" t="n">
        <v>4.36</v>
      </c>
      <c r="D46" s="4" t="n">
        <v>260</v>
      </c>
      <c r="E46" s="4" t="n">
        <v>-30</v>
      </c>
      <c r="F46" s="1">
        <f>C46*COS(RADIANS(E46))</f>
        <v/>
      </c>
      <c r="G46" s="1">
        <f>C46*COS(RADIANS(E46)) *SIN(RADIANS(D46))</f>
        <v/>
      </c>
      <c r="H46" s="1">
        <f>C46*COS(RADIANS(E46))*COS(RADIANS(D46))</f>
        <v/>
      </c>
      <c r="I46" s="1">
        <f>C46*SIN(RADIANS(E46))</f>
        <v/>
      </c>
      <c r="J46" s="1">
        <f>C46*COS(RADIANS(E46))*COS(RADIANS(D46-180))</f>
        <v/>
      </c>
      <c r="K46" s="1">
        <f>SUM(K45+G46)</f>
        <v/>
      </c>
      <c r="L46" s="1">
        <f>SUM(L45+H46)</f>
        <v/>
      </c>
      <c r="M46" s="1">
        <f>SUM(M45+I46)</f>
        <v/>
      </c>
      <c r="N46" s="1">
        <f>SUM(J46+N45)</f>
        <v/>
      </c>
      <c r="O46" s="2">
        <f>ROUND(SUM(O45+F46),1)</f>
        <v/>
      </c>
      <c r="P46" s="1" t="inlineStr">
        <is>
          <t>.15</t>
        </is>
      </c>
    </row>
    <row r="47">
      <c r="A47" s="3" t="inlineStr">
        <is>
          <t>8.2.3.3</t>
        </is>
      </c>
      <c r="B47" s="3" t="inlineStr">
        <is>
          <t>8.2.3.4</t>
        </is>
      </c>
      <c r="C47" s="1" t="n">
        <v>3.1</v>
      </c>
      <c r="D47" s="4" t="n">
        <v>247</v>
      </c>
      <c r="E47" s="4" t="n">
        <v>-31</v>
      </c>
      <c r="F47" s="1">
        <f>C47*COS(RADIANS(E47))</f>
        <v/>
      </c>
      <c r="G47" s="1">
        <f>C47*COS(RADIANS(E47)) *SIN(RADIANS(D47))</f>
        <v/>
      </c>
      <c r="H47" s="1">
        <f>C47*COS(RADIANS(E47))*COS(RADIANS(D47))</f>
        <v/>
      </c>
      <c r="I47" s="1">
        <f>C47*SIN(RADIANS(E47))</f>
        <v/>
      </c>
      <c r="J47" s="1">
        <f>C47*COS(RADIANS(E47))*COS(RADIANS(D47-180))</f>
        <v/>
      </c>
      <c r="K47" s="1">
        <f>SUM(K46+G47)</f>
        <v/>
      </c>
      <c r="L47" s="1">
        <f>SUM(L46+H47)</f>
        <v/>
      </c>
      <c r="M47" s="1">
        <f>SUM(M46+I47)</f>
        <v/>
      </c>
      <c r="N47" s="1">
        <f>SUM(J47+N46)</f>
        <v/>
      </c>
      <c r="O47" s="2">
        <f>ROUND(SUM(O46+F47),1)</f>
        <v/>
      </c>
      <c r="P47" s="1" t="inlineStr">
        <is>
          <t>.16</t>
        </is>
      </c>
    </row>
    <row r="48">
      <c r="A48" s="3" t="n"/>
      <c r="B48" s="3" t="n"/>
      <c r="C48" s="1" t="n"/>
      <c r="D48" s="4" t="n"/>
      <c r="E48" s="4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1" t="n"/>
    </row>
    <row r="49">
      <c r="A49" s="3" t="n"/>
      <c r="B49" s="3" t="inlineStr">
        <is>
          <t>8.2.3.2</t>
        </is>
      </c>
      <c r="C49" s="1" t="n"/>
      <c r="D49" s="4" t="n"/>
      <c r="E49" s="4" t="n"/>
      <c r="F49" s="1" t="n"/>
      <c r="G49" s="1" t="n"/>
      <c r="H49" s="1" t="n"/>
      <c r="I49" s="1" t="n"/>
      <c r="J49" s="1" t="n"/>
      <c r="K49" s="1" t="n">
        <v>-44.06452271682765</v>
      </c>
      <c r="L49" s="1" t="n">
        <v>-3.581946444039364</v>
      </c>
      <c r="M49" s="1" t="n">
        <v>-10.11471720355748</v>
      </c>
      <c r="N49" s="1">
        <f>SUM(J49+N48)</f>
        <v/>
      </c>
      <c r="O49" s="2">
        <f>ROUND(SUM(O48+F49),1)</f>
        <v/>
      </c>
      <c r="P49" s="1" t="n"/>
    </row>
    <row r="50">
      <c r="A50" s="3" t="inlineStr">
        <is>
          <t>8.2.3.2</t>
        </is>
      </c>
      <c r="B50" s="3" t="inlineStr">
        <is>
          <t>8.2.3.2.1</t>
        </is>
      </c>
      <c r="C50" s="1" t="n">
        <v>3.9</v>
      </c>
      <c r="D50" s="4" t="n">
        <v>316</v>
      </c>
      <c r="E50" s="4" t="n">
        <v>-34</v>
      </c>
      <c r="F50" s="1">
        <f>C50*COS(RADIANS(E50))</f>
        <v/>
      </c>
      <c r="G50" s="1">
        <f>C50*COS(RADIANS(E50)) *SIN(RADIANS(D50))</f>
        <v/>
      </c>
      <c r="H50" s="1">
        <f>C50*COS(RADIANS(E50))*COS(RADIANS(D50))</f>
        <v/>
      </c>
      <c r="I50" s="1">
        <f>C50*SIN(RADIANS(E50))</f>
        <v/>
      </c>
      <c r="J50" s="1">
        <f>C50*COS(RADIANS(E50))*COS(RADIANS(D50-180))</f>
        <v/>
      </c>
      <c r="K50" s="1">
        <f>SUM(K49+G50)</f>
        <v/>
      </c>
      <c r="L50" s="1">
        <f>SUM(L49+H50)</f>
        <v/>
      </c>
      <c r="M50" s="1">
        <f>SUM(M49+I50)</f>
        <v/>
      </c>
      <c r="N50" s="1">
        <f>SUM(J50+N49)</f>
        <v/>
      </c>
      <c r="O50" s="2">
        <f>ROUND(SUM(O49+F50),1)</f>
        <v/>
      </c>
      <c r="P50" s="1" t="inlineStr">
        <is>
          <t>.17</t>
        </is>
      </c>
    </row>
    <row r="51">
      <c r="A51" s="3" t="inlineStr">
        <is>
          <t>8.2.3.2.1</t>
        </is>
      </c>
      <c r="B51" s="3" t="inlineStr">
        <is>
          <t>8.2.3.2.2</t>
        </is>
      </c>
      <c r="C51" s="1" t="n">
        <v>2.5</v>
      </c>
      <c r="D51" s="4" t="n">
        <v>285</v>
      </c>
      <c r="E51" s="4" t="n">
        <v>-12</v>
      </c>
      <c r="F51" s="1">
        <f>C51*COS(RADIANS(E51))</f>
        <v/>
      </c>
      <c r="G51" s="1">
        <f>C51*COS(RADIANS(E51)) *SIN(RADIANS(D51))</f>
        <v/>
      </c>
      <c r="H51" s="1">
        <f>C51*COS(RADIANS(E51))*COS(RADIANS(D51))</f>
        <v/>
      </c>
      <c r="I51" s="1">
        <f>C51*SIN(RADIANS(E51))</f>
        <v/>
      </c>
      <c r="J51" s="1">
        <f>C51*COS(RADIANS(E51))*COS(RADIANS(D51-180))</f>
        <v/>
      </c>
      <c r="K51" s="1">
        <f>SUM(K50+G51)</f>
        <v/>
      </c>
      <c r="L51" s="1">
        <f>SUM(L50+H51)</f>
        <v/>
      </c>
      <c r="M51" s="1">
        <f>SUM(M50+I51)</f>
        <v/>
      </c>
      <c r="N51" s="1">
        <f>SUM(J51+N50)</f>
        <v/>
      </c>
      <c r="O51" s="2">
        <f>ROUND(SUM(O50+F51),1)</f>
        <v/>
      </c>
      <c r="P51" s="1" t="inlineStr">
        <is>
          <t>.18</t>
        </is>
      </c>
    </row>
    <row r="52">
      <c r="A52" s="3" t="n"/>
      <c r="B52" s="3" t="n"/>
      <c r="C52" s="1" t="n"/>
      <c r="D52" s="4" t="n"/>
      <c r="E52" s="4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  <c r="P52" s="1" t="n"/>
    </row>
    <row r="53">
      <c r="A53" s="3" t="n"/>
      <c r="B53" s="3" t="inlineStr">
        <is>
          <t>8.2.3.2.1</t>
        </is>
      </c>
      <c r="C53" s="1" t="n"/>
      <c r="D53" s="4" t="n"/>
      <c r="E53" s="4" t="n"/>
      <c r="F53" s="1" t="n"/>
      <c r="G53" s="1" t="n"/>
      <c r="H53" s="1" t="n"/>
      <c r="I53" s="1" t="n"/>
      <c r="J53" s="1" t="n"/>
      <c r="K53" s="1" t="n">
        <v>-46.31052448470909</v>
      </c>
      <c r="L53" s="1" t="n">
        <v>-1.256143528570929</v>
      </c>
      <c r="M53" s="1" t="n">
        <v>-12.29556952709339</v>
      </c>
      <c r="N53" s="1">
        <f>SUM(J53+N52)</f>
        <v/>
      </c>
      <c r="O53" s="2">
        <f>ROUND(SUM(O52+F53),1)</f>
        <v/>
      </c>
      <c r="P53" s="1" t="n"/>
    </row>
    <row r="54">
      <c r="A54" s="3" t="inlineStr">
        <is>
          <t>8.2.3.2.1</t>
        </is>
      </c>
      <c r="B54" s="3" t="inlineStr">
        <is>
          <t>8.2.3.2.1.1</t>
        </is>
      </c>
      <c r="C54" s="1" t="n">
        <v>2.5</v>
      </c>
      <c r="D54" s="4" t="n">
        <v>35</v>
      </c>
      <c r="E54" s="4" t="n">
        <v>-59</v>
      </c>
      <c r="F54" s="1">
        <f>C54*COS(RADIANS(E54))</f>
        <v/>
      </c>
      <c r="G54" s="1">
        <f>C54*COS(RADIANS(E54)) *SIN(RADIANS(D54))</f>
        <v/>
      </c>
      <c r="H54" s="1">
        <f>C54*COS(RADIANS(E54))*COS(RADIANS(D54))</f>
        <v/>
      </c>
      <c r="I54" s="1">
        <f>C54*SIN(RADIANS(E54))</f>
        <v/>
      </c>
      <c r="J54" s="1">
        <f>C54*COS(RADIANS(E54))*COS(RADIANS(D54-180))</f>
        <v/>
      </c>
      <c r="K54" s="1">
        <f>SUM(K53+G54)</f>
        <v/>
      </c>
      <c r="L54" s="1">
        <f>SUM(L53+H54)</f>
        <v/>
      </c>
      <c r="M54" s="1">
        <f>SUM(M53+I54)</f>
        <v/>
      </c>
      <c r="N54" s="1">
        <f>SUM(J54+N53)</f>
        <v/>
      </c>
      <c r="O54" s="2">
        <f>ROUND(SUM(O53+F54),1)</f>
        <v/>
      </c>
      <c r="P54" s="1" t="inlineStr">
        <is>
          <t>.19</t>
        </is>
      </c>
    </row>
    <row r="55">
      <c r="A55" s="3" t="inlineStr">
        <is>
          <t>8.2.3.2.1.1</t>
        </is>
      </c>
      <c r="B55" s="3" t="inlineStr">
        <is>
          <t>8.2.3.2.1.2</t>
        </is>
      </c>
      <c r="C55" s="1" t="n">
        <v>2</v>
      </c>
      <c r="D55" s="4" t="n">
        <v>50</v>
      </c>
      <c r="E55" s="4" t="n">
        <v>0</v>
      </c>
      <c r="F55" s="1">
        <f>C55*COS(RADIANS(E55))</f>
        <v/>
      </c>
      <c r="G55" s="1">
        <f>C55*COS(RADIANS(E55)) *SIN(RADIANS(D55))</f>
        <v/>
      </c>
      <c r="H55" s="1">
        <f>C55*COS(RADIANS(E55))*COS(RADIANS(D55))</f>
        <v/>
      </c>
      <c r="I55" s="1">
        <f>C55*SIN(RADIANS(E55))</f>
        <v/>
      </c>
      <c r="J55" s="1">
        <f>C55*COS(RADIANS(E55))*COS(RADIANS(D55-180))</f>
        <v/>
      </c>
      <c r="K55" s="1">
        <f>SUM(K54+G55)</f>
        <v/>
      </c>
      <c r="L55" s="1">
        <f>SUM(L54+H55)</f>
        <v/>
      </c>
      <c r="M55" s="1">
        <f>SUM(M54+I55)</f>
        <v/>
      </c>
      <c r="N55" s="1">
        <f>SUM(J55+N54)</f>
        <v/>
      </c>
      <c r="O55" s="2">
        <f>ROUND(SUM(O54+F55),1)</f>
        <v/>
      </c>
      <c r="P55" s="1" t="inlineStr">
        <is>
          <t>.20</t>
        </is>
      </c>
    </row>
    <row r="56">
      <c r="A56" s="3" t="n"/>
      <c r="B56" s="3" t="n"/>
      <c r="C56" s="1" t="n"/>
      <c r="D56" s="4" t="n"/>
      <c r="E56" s="4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  <c r="P56" s="1" t="n"/>
    </row>
    <row r="57">
      <c r="A57" s="3" t="n"/>
      <c r="B57" s="3" t="inlineStr">
        <is>
          <t>8.2.3.3</t>
        </is>
      </c>
      <c r="C57" s="1" t="n"/>
      <c r="D57" s="4" t="n"/>
      <c r="E57" s="4" t="n"/>
      <c r="F57" s="1" t="n"/>
      <c r="G57" s="1" t="n"/>
      <c r="H57" s="1" t="n"/>
      <c r="I57" s="1" t="n"/>
      <c r="J57" s="1" t="n"/>
      <c r="K57" s="1" t="n">
        <v>-47.7830295161403</v>
      </c>
      <c r="L57" s="1" t="n">
        <v>-4.237619520706062</v>
      </c>
      <c r="M57" s="1" t="n">
        <v>-12.29471720355748</v>
      </c>
      <c r="N57" s="1">
        <f>SUM(J57+N56)</f>
        <v/>
      </c>
      <c r="O57" s="2">
        <f>ROUND(SUM(O56+F57),1)</f>
        <v/>
      </c>
      <c r="P57" s="1" t="inlineStr">
        <is>
          <t>próg - pętla</t>
        </is>
      </c>
    </row>
    <row r="58">
      <c r="A58" s="3" t="inlineStr">
        <is>
          <t>8.2.3.3</t>
        </is>
      </c>
      <c r="B58" s="3" t="inlineStr">
        <is>
          <t>8.2.3.3.1</t>
        </is>
      </c>
      <c r="C58" s="1" t="n">
        <v>1.95</v>
      </c>
      <c r="D58" s="4" t="n">
        <v>165</v>
      </c>
      <c r="E58" s="4" t="n">
        <v>3</v>
      </c>
      <c r="F58" s="1">
        <f>C58*COS(RADIANS(E58))</f>
        <v/>
      </c>
      <c r="G58" s="1">
        <f>C58*COS(RADIANS(E58)) *SIN(RADIANS(D58))</f>
        <v/>
      </c>
      <c r="H58" s="1">
        <f>C58*COS(RADIANS(E58))*COS(RADIANS(D58))</f>
        <v/>
      </c>
      <c r="I58" s="1">
        <f>C58*SIN(RADIANS(E58))</f>
        <v/>
      </c>
      <c r="J58" s="1">
        <f>C58*COS(RADIANS(E58))*COS(RADIANS(D58-180))</f>
        <v/>
      </c>
      <c r="K58" s="1">
        <f>SUM(K57+G58)</f>
        <v/>
      </c>
      <c r="L58" s="1">
        <f>SUM(L57+H58)</f>
        <v/>
      </c>
      <c r="M58" s="1">
        <f>SUM(M57+I58)</f>
        <v/>
      </c>
      <c r="N58" s="1">
        <f>SUM(J58+N57)</f>
        <v/>
      </c>
      <c r="O58" s="2">
        <f>ROUND(SUM(O57+F58),1)</f>
        <v/>
      </c>
      <c r="P58" s="1" t="inlineStr">
        <is>
          <t>.21</t>
        </is>
      </c>
      <c r="Q58" s="1" t="inlineStr">
        <is>
          <t>zacisk</t>
        </is>
      </c>
    </row>
    <row r="59">
      <c r="A59" s="3" t="inlineStr">
        <is>
          <t>8.2.3.3.1</t>
        </is>
      </c>
      <c r="B59" s="3" t="inlineStr">
        <is>
          <t>8.2.3.3.2</t>
        </is>
      </c>
      <c r="C59" s="1" t="n">
        <v>2.65</v>
      </c>
      <c r="D59" s="4" t="n">
        <v>196</v>
      </c>
      <c r="E59" s="4" t="n">
        <v>15</v>
      </c>
      <c r="F59" s="1">
        <f>C59*COS(RADIANS(E59))</f>
        <v/>
      </c>
      <c r="G59" s="1">
        <f>C59*COS(RADIANS(E59)) *SIN(RADIANS(D59))</f>
        <v/>
      </c>
      <c r="H59" s="1">
        <f>C59*COS(RADIANS(E59))*COS(RADIANS(D59))</f>
        <v/>
      </c>
      <c r="I59" s="1">
        <f>C59*SIN(RADIANS(E59))</f>
        <v/>
      </c>
      <c r="J59" s="1">
        <f>C59*COS(RADIANS(E59))*COS(RADIANS(D59-180))</f>
        <v/>
      </c>
      <c r="K59" s="1">
        <f>SUM(K58+G59)</f>
        <v/>
      </c>
      <c r="L59" s="1">
        <f>SUM(L58+H59)</f>
        <v/>
      </c>
      <c r="M59" s="1">
        <f>SUM(M58+I59)</f>
        <v/>
      </c>
      <c r="N59" s="1">
        <f>SUM(J59+N58)</f>
        <v/>
      </c>
      <c r="O59" s="2">
        <f>ROUND(SUM(O58+F59),1)</f>
        <v/>
      </c>
      <c r="P59" s="1" t="inlineStr">
        <is>
          <t>.22</t>
        </is>
      </c>
    </row>
    <row r="60">
      <c r="A60" s="3" t="inlineStr">
        <is>
          <t>8.2.3.3.2</t>
        </is>
      </c>
      <c r="B60" s="3" t="inlineStr">
        <is>
          <t>8.2.3.3.3</t>
        </is>
      </c>
      <c r="C60" s="1" t="n">
        <v>3.15</v>
      </c>
      <c r="D60" s="4" t="n">
        <v>191</v>
      </c>
      <c r="E60" s="4" t="n">
        <v>35</v>
      </c>
      <c r="F60" s="1">
        <f>C60*COS(RADIANS(E60))</f>
        <v/>
      </c>
      <c r="G60" s="1">
        <f>C60*COS(RADIANS(E60)) *SIN(RADIANS(D60))</f>
        <v/>
      </c>
      <c r="H60" s="1">
        <f>C60*COS(RADIANS(E60))*COS(RADIANS(D60))</f>
        <v/>
      </c>
      <c r="I60" s="1">
        <f>C60*SIN(RADIANS(E60))</f>
        <v/>
      </c>
      <c r="J60" s="1">
        <f>C60*COS(RADIANS(E60))*COS(RADIANS(D60-180))</f>
        <v/>
      </c>
      <c r="K60" s="1">
        <f>SUM(K59+G60)</f>
        <v/>
      </c>
      <c r="L60" s="1">
        <f>SUM(L59+H60)</f>
        <v/>
      </c>
      <c r="M60" s="1">
        <f>SUM(M59+I60)</f>
        <v/>
      </c>
      <c r="N60" s="1">
        <f>SUM(J60+N59)</f>
        <v/>
      </c>
      <c r="O60" s="2">
        <f>ROUND(SUM(O59+F60),1)</f>
        <v/>
      </c>
      <c r="P60" s="1" t="inlineStr">
        <is>
          <t>.23</t>
        </is>
      </c>
    </row>
    <row r="61">
      <c r="A61" s="3" t="inlineStr">
        <is>
          <t>8.2.3.3.3</t>
        </is>
      </c>
      <c r="B61" s="3" t="inlineStr">
        <is>
          <t>8.2.3.3.4</t>
        </is>
      </c>
      <c r="C61" s="1" t="n">
        <v>4.85</v>
      </c>
      <c r="D61" s="4" t="n">
        <v>173</v>
      </c>
      <c r="E61" s="4" t="n">
        <v>61</v>
      </c>
      <c r="F61" s="1">
        <f>C61*COS(RADIANS(E61))</f>
        <v/>
      </c>
      <c r="G61" s="1">
        <f>C61*COS(RADIANS(E61)) *SIN(RADIANS(D61))</f>
        <v/>
      </c>
      <c r="H61" s="1">
        <f>C61*COS(RADIANS(E61))*COS(RADIANS(D61))</f>
        <v/>
      </c>
      <c r="I61" s="1">
        <f>C61*SIN(RADIANS(E61))</f>
        <v/>
      </c>
      <c r="J61" s="1">
        <f>C61*COS(RADIANS(E61))*COS(RADIANS(D61-180))</f>
        <v/>
      </c>
      <c r="K61" s="1">
        <f>SUM(K60+G61)</f>
        <v/>
      </c>
      <c r="L61" s="1">
        <f>SUM(L60+H61)</f>
        <v/>
      </c>
      <c r="M61" s="1">
        <f>SUM(M60+I61)</f>
        <v/>
      </c>
      <c r="N61" s="1">
        <f>SUM(J61+N60)</f>
        <v/>
      </c>
      <c r="O61" s="2">
        <f>ROUND(SUM(O60+F61),1)</f>
        <v/>
      </c>
      <c r="P61" s="1" t="inlineStr">
        <is>
          <t>.24</t>
        </is>
      </c>
    </row>
    <row r="62">
      <c r="A62" s="3" t="inlineStr">
        <is>
          <t>8.2.3.3.4</t>
        </is>
      </c>
      <c r="B62" s="3" t="inlineStr">
        <is>
          <t>8.3</t>
        </is>
      </c>
      <c r="C62" s="1" t="n">
        <v>3.5</v>
      </c>
      <c r="D62" s="4" t="n">
        <v>132</v>
      </c>
      <c r="E62" s="4" t="n">
        <v>2</v>
      </c>
      <c r="F62" s="1">
        <f>C62*COS(RADIANS(E62))</f>
        <v/>
      </c>
      <c r="G62" s="1">
        <f>C62*COS(RADIANS(E62)) *SIN(RADIANS(D62))</f>
        <v/>
      </c>
      <c r="H62" s="1">
        <f>C62*COS(RADIANS(E62))*COS(RADIANS(D62))</f>
        <v/>
      </c>
      <c r="I62" s="1">
        <f>C62*SIN(RADIANS(E62))</f>
        <v/>
      </c>
      <c r="J62" s="1">
        <f>C62*COS(RADIANS(E62))*COS(RADIANS(D62-180))</f>
        <v/>
      </c>
      <c r="K62" s="1">
        <f>SUM(K61+G62)</f>
        <v/>
      </c>
      <c r="L62" s="1">
        <f>SUM(L61+H62)</f>
        <v/>
      </c>
      <c r="M62" s="1">
        <f>SUM(M61+I62)</f>
        <v/>
      </c>
      <c r="N62" s="1">
        <f>SUM(J62+N61)</f>
        <v/>
      </c>
      <c r="O62" s="2">
        <f>ROUND(SUM(O61+F62),1)</f>
        <v/>
      </c>
      <c r="P62" s="1" t="inlineStr">
        <is>
          <t>.13</t>
        </is>
      </c>
    </row>
    <row r="63">
      <c r="A63" s="3" t="n"/>
      <c r="B63" s="3" t="n"/>
      <c r="C63" s="1" t="n"/>
      <c r="D63" s="4" t="n"/>
      <c r="E63" s="4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  <c r="P63" s="1" t="n"/>
    </row>
    <row r="64">
      <c r="A64" s="3" t="n"/>
      <c r="B64" s="3" t="inlineStr">
        <is>
          <t>8.3</t>
        </is>
      </c>
      <c r="C64" s="1" t="n"/>
      <c r="D64" s="4" t="n"/>
      <c r="E64" s="4" t="n"/>
      <c r="F64" s="1" t="n"/>
      <c r="G64" s="1" t="n"/>
      <c r="H64" s="1" t="n"/>
      <c r="I64" s="1" t="n"/>
      <c r="J64" s="1" t="n"/>
      <c r="K64" s="1" t="n">
        <v>-45.8582177084277</v>
      </c>
      <c r="L64" s="1" t="n">
        <v>-15.23844292559954</v>
      </c>
      <c r="M64" s="1" t="n">
        <v>-5.262639398073235</v>
      </c>
      <c r="N64" s="1">
        <f>SUM(J64+N63)</f>
        <v/>
      </c>
      <c r="O64" s="2">
        <f>ROUND(SUM(O63+F64),1)</f>
        <v/>
      </c>
      <c r="P64" s="1" t="inlineStr">
        <is>
          <t>komin</t>
        </is>
      </c>
    </row>
    <row r="65">
      <c r="A65" s="3" t="inlineStr">
        <is>
          <t>8.3</t>
        </is>
      </c>
      <c r="B65" s="3" t="inlineStr">
        <is>
          <t>8.3.1</t>
        </is>
      </c>
      <c r="C65" s="1" t="n">
        <v>6.2</v>
      </c>
      <c r="D65" s="4" t="n">
        <v>288</v>
      </c>
      <c r="E65" s="4" t="n">
        <v>62</v>
      </c>
      <c r="F65" s="1">
        <f>C65*COS(RADIANS(E65))</f>
        <v/>
      </c>
      <c r="G65" s="1">
        <f>C65*COS(RADIANS(E65)) *SIN(RADIANS(D65))</f>
        <v/>
      </c>
      <c r="H65" s="1">
        <f>C65*COS(RADIANS(E65))*COS(RADIANS(D65))</f>
        <v/>
      </c>
      <c r="I65" s="1">
        <f>C65*SIN(RADIANS(E65))</f>
        <v/>
      </c>
      <c r="J65" s="1">
        <f>C65*COS(RADIANS(E65))*COS(RADIANS(D65-180))</f>
        <v/>
      </c>
      <c r="K65" s="1">
        <f>SUM(K64+G65)</f>
        <v/>
      </c>
      <c r="L65" s="1">
        <f>SUM(L64+H65)</f>
        <v/>
      </c>
      <c r="M65" s="1">
        <f>SUM(M64+I65)</f>
        <v/>
      </c>
      <c r="N65" s="1">
        <f>SUM(J65+N64)</f>
        <v/>
      </c>
      <c r="O65" s="2">
        <f>ROUND(SUM(O64+F65),1)</f>
        <v/>
      </c>
      <c r="P65" s="1" t="inlineStr">
        <is>
          <t>.1</t>
        </is>
      </c>
    </row>
    <row r="66">
      <c r="A66" s="3" t="inlineStr">
        <is>
          <t>8.3.1</t>
        </is>
      </c>
      <c r="B66" s="3" t="inlineStr">
        <is>
          <t>8.3.2</t>
        </is>
      </c>
      <c r="C66" s="1" t="n">
        <v>4.3</v>
      </c>
      <c r="D66" s="4" t="n">
        <v>282</v>
      </c>
      <c r="E66" s="4" t="n">
        <v>57</v>
      </c>
      <c r="F66" s="1">
        <f>C66*COS(RADIANS(E66))</f>
        <v/>
      </c>
      <c r="G66" s="1">
        <f>C66*COS(RADIANS(E66)) *SIN(RADIANS(D66))</f>
        <v/>
      </c>
      <c r="H66" s="1">
        <f>C66*COS(RADIANS(E66))*COS(RADIANS(D66))</f>
        <v/>
      </c>
      <c r="I66" s="1">
        <f>C66*SIN(RADIANS(E66))</f>
        <v/>
      </c>
      <c r="J66" s="1">
        <f>C66*COS(RADIANS(E66))*COS(RADIANS(D66-180))</f>
        <v/>
      </c>
      <c r="K66" s="1">
        <f>SUM(K65+G66)</f>
        <v/>
      </c>
      <c r="L66" s="1">
        <f>SUM(L65+H66)</f>
        <v/>
      </c>
      <c r="M66" s="1">
        <f>SUM(M65+I66)</f>
        <v/>
      </c>
      <c r="N66" s="1">
        <f>SUM(J66+N65)</f>
        <v/>
      </c>
      <c r="O66" s="2">
        <f>ROUND(SUM(O65+F66),1)</f>
        <v/>
      </c>
      <c r="P66" s="1" t="inlineStr">
        <is>
          <t>.2</t>
        </is>
      </c>
    </row>
    <row r="67">
      <c r="A67" s="3" t="inlineStr">
        <is>
          <t>8.3.2</t>
        </is>
      </c>
      <c r="B67" s="3" t="inlineStr">
        <is>
          <t>8.3.3</t>
        </is>
      </c>
      <c r="C67" s="1" t="n">
        <v>2</v>
      </c>
      <c r="D67" s="4" t="n">
        <v>53</v>
      </c>
      <c r="E67" s="4" t="n">
        <v>14</v>
      </c>
      <c r="F67" s="1">
        <f>C67*COS(RADIANS(E67))</f>
        <v/>
      </c>
      <c r="G67" s="1">
        <f>C67*COS(RADIANS(E67)) *SIN(RADIANS(D67))</f>
        <v/>
      </c>
      <c r="H67" s="1">
        <f>C67*COS(RADIANS(E67))*COS(RADIANS(D67))</f>
        <v/>
      </c>
      <c r="I67" s="1">
        <f>C67*SIN(RADIANS(E67))</f>
        <v/>
      </c>
      <c r="J67" s="1">
        <f>C67*COS(RADIANS(E67))*COS(RADIANS(D67-180))</f>
        <v/>
      </c>
      <c r="K67" s="1">
        <f>SUM(K66+G67)</f>
        <v/>
      </c>
      <c r="L67" s="1">
        <f>SUM(L66+H67)</f>
        <v/>
      </c>
      <c r="M67" s="1">
        <f>SUM(M66+I67)</f>
        <v/>
      </c>
      <c r="N67" s="1">
        <f>SUM(J67+N66)</f>
        <v/>
      </c>
      <c r="O67" s="2">
        <f>ROUND(SUM(O66+F67),1)</f>
        <v/>
      </c>
      <c r="P67" s="1" t="inlineStr">
        <is>
          <t>.3</t>
        </is>
      </c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  <row r="90">
      <c r="A90" s="3" t="n"/>
      <c r="B90" s="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</row>
    <row r="91">
      <c r="A91" s="3" t="n"/>
      <c r="B91" s="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2" t="n"/>
    </row>
    <row r="92">
      <c r="A92" s="3" t="n"/>
      <c r="B92" s="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2" t="n"/>
    </row>
    <row r="93">
      <c r="A93" s="3" t="n"/>
      <c r="B93" s="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2" t="n"/>
    </row>
    <row r="94">
      <c r="A94" s="3" t="n"/>
      <c r="B94" s="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2" t="n"/>
    </row>
    <row r="95">
      <c r="A95" s="3" t="n"/>
      <c r="B95" s="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2" t="n"/>
    </row>
    <row r="96">
      <c r="A96" s="3" t="n"/>
      <c r="B96" s="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2" t="n"/>
    </row>
    <row r="97">
      <c r="A97" s="3" t="n"/>
      <c r="B97" s="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2" t="n"/>
    </row>
    <row r="98">
      <c r="A98" s="3" t="n"/>
      <c r="B98" s="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2" t="n"/>
    </row>
    <row r="99">
      <c r="A99" s="3" t="n"/>
      <c r="B99" s="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2" t="n"/>
    </row>
    <row r="100">
      <c r="A100" s="3" t="n"/>
      <c r="B100" s="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2" t="n"/>
    </row>
    <row r="101">
      <c r="A101" s="3" t="n"/>
      <c r="B101" s="3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2" t="n"/>
    </row>
    <row r="102">
      <c r="A102" s="3" t="n"/>
      <c r="B102" s="3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2" t="n"/>
    </row>
    <row r="103">
      <c r="A103" s="3" t="n"/>
      <c r="B103" s="3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2" t="n"/>
    </row>
    <row r="104">
      <c r="A104" s="3" t="n"/>
      <c r="B104" s="3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2" t="n"/>
    </row>
    <row r="105">
      <c r="A105" s="3" t="n"/>
      <c r="B105" s="3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