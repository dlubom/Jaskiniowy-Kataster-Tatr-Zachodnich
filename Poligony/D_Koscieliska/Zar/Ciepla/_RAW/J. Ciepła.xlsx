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. Ciepł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SUM(C3:C9988)</f>
        <v/>
      </c>
      <c r="Q2" s="2">
        <f>ROUND(MIN(M2:M9988),1)</f>
        <v/>
      </c>
      <c r="R2" s="2">
        <f>ROUND(MAX(M2:M9988),1)</f>
        <v/>
      </c>
      <c r="S2" s="2">
        <f>ABS((R2)-(Q2))</f>
        <v/>
      </c>
      <c r="T2">
        <f>ROUND(ABS(MAX(K2:K9988)-MIN(K2:K9988)),1)</f>
        <v/>
      </c>
      <c r="U2">
        <f>ROUND(ABS(MAX(L2:L9988)-MIN(L2:L9988)),1)</f>
        <v/>
      </c>
    </row>
    <row r="3">
      <c r="A3" s="3" t="inlineStr">
        <is>
          <t>0</t>
        </is>
      </c>
      <c r="B3" s="3" t="inlineStr">
        <is>
          <t>1</t>
        </is>
      </c>
      <c r="C3" s="1" t="n">
        <v>2.9</v>
      </c>
      <c r="D3" s="4" t="n">
        <v>78</v>
      </c>
      <c r="E3" s="4" t="n">
        <v>-22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</row>
    <row r="4">
      <c r="A4" s="3" t="inlineStr">
        <is>
          <t>1</t>
        </is>
      </c>
      <c r="B4" s="3" t="inlineStr">
        <is>
          <t>2</t>
        </is>
      </c>
      <c r="C4" s="1" t="n">
        <v>3</v>
      </c>
      <c r="D4" s="4" t="n">
        <v>17</v>
      </c>
      <c r="E4" s="4" t="n">
        <v>-17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inlineStr">
        <is>
          <t>2</t>
        </is>
      </c>
      <c r="B5" s="3" t="inlineStr">
        <is>
          <t>3</t>
        </is>
      </c>
      <c r="C5" s="1" t="n">
        <v>3.1</v>
      </c>
      <c r="D5" s="4" t="n">
        <v>22</v>
      </c>
      <c r="E5" s="4" t="n">
        <v>27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A6" s="3" t="inlineStr">
        <is>
          <t>3</t>
        </is>
      </c>
      <c r="B6" s="3" t="inlineStr">
        <is>
          <t>4</t>
        </is>
      </c>
      <c r="C6" s="1" t="n">
        <v>1.8</v>
      </c>
      <c r="D6" s="4" t="n">
        <v>35</v>
      </c>
      <c r="E6" s="4" t="n">
        <v>-25</v>
      </c>
      <c r="F6" s="1">
        <f>C6*COS(RADIANS(E6))</f>
        <v/>
      </c>
      <c r="G6" s="1">
        <f>C6*COS(RADIANS(E6)) *SIN(RADIANS(D6))</f>
        <v/>
      </c>
      <c r="H6" s="1">
        <f>C6*COS(RADIANS(E6))*COS(RADIANS(D6))</f>
        <v/>
      </c>
      <c r="I6" s="1">
        <f>C6*SIN(RADIANS(E6))</f>
        <v/>
      </c>
      <c r="J6" s="1">
        <f>C6*COS(RADIANS(E6))*COS(RADIANS(D6-180))</f>
        <v/>
      </c>
      <c r="K6" s="1">
        <f>SUM(K5+G6)</f>
        <v/>
      </c>
      <c r="L6" s="1">
        <f>SUM(L5+H6)</f>
        <v/>
      </c>
      <c r="M6" s="1">
        <f>SUM(M5+I6)</f>
        <v/>
      </c>
      <c r="N6" s="1">
        <f>SUM(J6+N5)</f>
        <v/>
      </c>
      <c r="O6" s="2">
        <f>ROUND(SUM(O5+F6),1)</f>
        <v/>
      </c>
      <c r="Q6" s="4" t="n"/>
    </row>
    <row r="7">
      <c r="A7" s="3" t="inlineStr">
        <is>
          <t>4</t>
        </is>
      </c>
      <c r="B7" s="3" t="inlineStr">
        <is>
          <t>5</t>
        </is>
      </c>
      <c r="C7" s="1" t="n">
        <v>2.85</v>
      </c>
      <c r="D7" s="4" t="n">
        <v>70</v>
      </c>
      <c r="E7" s="4" t="n">
        <v>-38</v>
      </c>
      <c r="F7" s="1">
        <f>C7*COS(RADIANS(E7))</f>
        <v/>
      </c>
      <c r="G7" s="1">
        <f>C7*COS(RADIANS(E7)) *SIN(RADIANS(D7))</f>
        <v/>
      </c>
      <c r="H7" s="1">
        <f>C7*COS(RADIANS(E7))*COS(RADIANS(D7))</f>
        <v/>
      </c>
      <c r="I7" s="1">
        <f>C7*SIN(RADIANS(E7))</f>
        <v/>
      </c>
      <c r="J7" s="1">
        <f>C7*COS(RADIANS(E7))*COS(RADIANS(D7-180))</f>
        <v/>
      </c>
      <c r="K7" s="1">
        <f>SUM(K6+G7)</f>
        <v/>
      </c>
      <c r="L7" s="1">
        <f>SUM(L6+H7)</f>
        <v/>
      </c>
      <c r="M7" s="1">
        <f>SUM(M6+I7)</f>
        <v/>
      </c>
      <c r="N7" s="1">
        <f>SUM(J7+N6)</f>
        <v/>
      </c>
      <c r="O7" s="2">
        <f>ROUND(SUM(O6+F7),1)</f>
        <v/>
      </c>
      <c r="Q7" s="4" t="n"/>
    </row>
    <row r="8">
      <c r="A8" s="3" t="inlineStr">
        <is>
          <t>5</t>
        </is>
      </c>
      <c r="B8" s="3" t="inlineStr">
        <is>
          <t>6</t>
        </is>
      </c>
      <c r="C8" s="1" t="n">
        <v>3</v>
      </c>
      <c r="D8" s="4" t="n">
        <v>152</v>
      </c>
      <c r="E8" s="4" t="n">
        <v>-50</v>
      </c>
      <c r="F8" s="1">
        <f>C8*COS(RADIANS(E8))</f>
        <v/>
      </c>
      <c r="G8" s="1">
        <f>C8*COS(RADIANS(E8)) *SIN(RADIANS(D8))</f>
        <v/>
      </c>
      <c r="H8" s="1">
        <f>C8*COS(RADIANS(E8))*COS(RADIANS(D8))</f>
        <v/>
      </c>
      <c r="I8" s="1">
        <f>C8*SIN(RADIANS(E8))</f>
        <v/>
      </c>
      <c r="J8" s="1">
        <f>C8*COS(RADIANS(E8))*COS(RADIANS(D8-180))</f>
        <v/>
      </c>
      <c r="K8" s="1">
        <f>SUM(K7+G8)</f>
        <v/>
      </c>
      <c r="L8" s="1">
        <f>SUM(L7+H8)</f>
        <v/>
      </c>
      <c r="M8" s="1">
        <f>SUM(M7+I8)</f>
        <v/>
      </c>
      <c r="N8" s="1">
        <f>SUM(J8+N7)</f>
        <v/>
      </c>
      <c r="O8" s="2">
        <f>ROUND(SUM(O7+F8),1)</f>
        <v/>
      </c>
      <c r="Q8" s="4" t="n"/>
    </row>
    <row r="9">
      <c r="A9" s="3" t="n"/>
      <c r="B9" s="3" t="n"/>
      <c r="C9" s="1" t="n"/>
      <c r="D9" s="4" t="n"/>
      <c r="E9" s="4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2" t="n"/>
      <c r="Q9" s="4" t="n"/>
    </row>
    <row r="10">
      <c r="A10" s="3" t="n"/>
      <c r="B10" s="3" t="inlineStr">
        <is>
          <t>1</t>
        </is>
      </c>
      <c r="C10" s="1" t="n"/>
      <c r="D10" s="4" t="n"/>
      <c r="E10" s="4" t="n"/>
      <c r="F10" s="1" t="n"/>
      <c r="G10" s="1" t="n"/>
      <c r="H10" s="1" t="n"/>
      <c r="I10" s="1" t="n"/>
      <c r="J10" s="1" t="n"/>
      <c r="K10" s="1" t="n">
        <v>2.630075722072512</v>
      </c>
      <c r="L10" s="1" t="n">
        <v>0.5590398524155342</v>
      </c>
      <c r="M10" s="1" t="n">
        <v>-1.086359120906145</v>
      </c>
      <c r="N10" s="1">
        <f>SUM(J10+N9)</f>
        <v/>
      </c>
      <c r="O10" s="2">
        <f>ROUND(SUM(O9+F10),1)</f>
        <v/>
      </c>
      <c r="Q10" s="4" t="n"/>
    </row>
    <row r="11">
      <c r="A11" s="3" t="inlineStr">
        <is>
          <t>1</t>
        </is>
      </c>
      <c r="B11" s="3" t="inlineStr">
        <is>
          <t>1.1</t>
        </is>
      </c>
      <c r="C11" s="1" t="n">
        <v>2.5</v>
      </c>
      <c r="D11" s="4" t="n">
        <v>110</v>
      </c>
      <c r="E11" s="4" t="n">
        <v>-25</v>
      </c>
      <c r="F11" s="1">
        <f>C11*COS(RADIANS(E11))</f>
        <v/>
      </c>
      <c r="G11" s="1">
        <f>C11*COS(RADIANS(E11)) *SIN(RADIANS(D11))</f>
        <v/>
      </c>
      <c r="H11" s="1">
        <f>C11*COS(RADIANS(E11))*COS(RADIANS(D11))</f>
        <v/>
      </c>
      <c r="I11" s="1">
        <f>C11*SIN(RADIANS(E11))</f>
        <v/>
      </c>
      <c r="J11" s="1">
        <f>C11*COS(RADIANS(E11))*COS(RADIANS(D11-180))</f>
        <v/>
      </c>
      <c r="K11" s="1">
        <f>SUM(K10+G11)</f>
        <v/>
      </c>
      <c r="L11" s="1">
        <f>SUM(L10+H11)</f>
        <v/>
      </c>
      <c r="M11" s="1">
        <f>SUM(M10+I11)</f>
        <v/>
      </c>
      <c r="N11" s="1">
        <f>SUM(J11+N10)</f>
        <v/>
      </c>
      <c r="O11" s="2">
        <f>ROUND(SUM(O10+F11),1)</f>
        <v/>
      </c>
      <c r="Q11" s="4" t="n"/>
    </row>
    <row r="12">
      <c r="A12" s="3" t="n"/>
      <c r="B12" s="3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2" t="n"/>
    </row>
    <row r="13">
      <c r="A13" t="inlineStr">
        <is>
          <t>Nazwa: Jaskinia Ciepła</t>
        </is>
      </c>
      <c r="B13" s="3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2" t="n"/>
    </row>
    <row r="14">
      <c r="B14" s="3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2" t="n"/>
    </row>
    <row r="15">
      <c r="A15" t="inlineStr">
        <is>
          <t>Pomiary: J. Nowak, E. Wójcik; 1. 12. 2007 r.</t>
        </is>
      </c>
      <c r="B15" s="3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2" t="n"/>
    </row>
    <row r="16">
      <c r="A16" t="inlineStr">
        <is>
          <t>Wysokość: ok. 1400 m npm</t>
        </is>
      </c>
      <c r="B16" s="3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2" t="n"/>
    </row>
    <row r="17">
      <c r="A17" t="inlineStr">
        <is>
          <t>Wysokość nad dnem doliny: ok. 320 m</t>
        </is>
      </c>
      <c r="B17" s="3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2" t="n"/>
    </row>
    <row r="18">
      <c r="A18" s="3" t="n"/>
      <c r="B18" s="3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2" t="n"/>
    </row>
    <row r="19">
      <c r="A19" s="3" t="n"/>
      <c r="B19" s="3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2" t="n"/>
    </row>
    <row r="20">
      <c r="A20" s="3" t="n"/>
      <c r="B20" s="3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2" t="n"/>
    </row>
    <row r="21">
      <c r="A21" s="3" t="n"/>
      <c r="B21" s="3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2" t="n"/>
    </row>
    <row r="22">
      <c r="A22" s="3" t="n"/>
      <c r="B22" s="3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2" t="n"/>
    </row>
    <row r="23">
      <c r="A23" s="3" t="n"/>
      <c r="B23" s="3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2" t="n"/>
    </row>
    <row r="24">
      <c r="A24" s="3" t="n"/>
      <c r="B24" s="3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2" t="n"/>
    </row>
    <row r="25">
      <c r="A25" s="3" t="n"/>
      <c r="B25" s="3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2" t="n"/>
    </row>
    <row r="26">
      <c r="A26" s="3" t="n"/>
      <c r="B26" s="3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2" t="n"/>
    </row>
    <row r="27">
      <c r="A27" s="3" t="n"/>
      <c r="B27" s="3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</row>
    <row r="28">
      <c r="A28" s="3" t="n"/>
      <c r="B28" s="3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</row>
    <row r="29">
      <c r="A29" s="3" t="n"/>
      <c r="B29" s="3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2" t="n"/>
    </row>
    <row r="30">
      <c r="A30" s="3" t="n"/>
      <c r="B30" s="3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2" t="n"/>
    </row>
    <row r="31">
      <c r="A31" s="3" t="n"/>
      <c r="B31" s="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2" t="n"/>
    </row>
    <row r="32">
      <c r="A32" s="3" t="n"/>
      <c r="B32" s="3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2" t="n"/>
    </row>
    <row r="34">
      <c r="A34" s="3" t="n"/>
      <c r="B34" s="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</row>
    <row r="35">
      <c r="A35" s="3" t="n"/>
      <c r="B35" s="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</row>
    <row r="36">
      <c r="A36" s="3" t="n"/>
      <c r="B36" s="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2" t="n"/>
    </row>
    <row r="37">
      <c r="A37" s="3" t="n"/>
      <c r="B37" s="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2" t="n"/>
    </row>
    <row r="38">
      <c r="A38" s="3" t="n"/>
      <c r="B38" s="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2" t="n"/>
    </row>
    <row r="40">
      <c r="A40" s="3" t="n"/>
      <c r="B40" s="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</row>
    <row r="41">
      <c r="A41" s="3" t="n"/>
      <c r="B41" s="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</row>
    <row r="43">
      <c r="A43" s="3" t="n"/>
      <c r="B43" s="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</row>
    <row r="44">
      <c r="A44" s="3" t="n"/>
      <c r="B44" s="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</row>
    <row r="45">
      <c r="A45" s="3" t="n"/>
      <c r="B45" s="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2" t="n"/>
    </row>
    <row r="48">
      <c r="A48" s="3" t="n"/>
      <c r="B48" s="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</row>
    <row r="50">
      <c r="A50" s="3" t="n"/>
      <c r="B50" s="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2" t="n"/>
    </row>
    <row r="51">
      <c r="A51" s="3" t="n"/>
      <c r="B51" s="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</row>
    <row r="53">
      <c r="A53" s="3" t="n"/>
      <c r="B53" s="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n"/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  <row r="89">
      <c r="A89" s="3" t="n"/>
      <c r="B89" s="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