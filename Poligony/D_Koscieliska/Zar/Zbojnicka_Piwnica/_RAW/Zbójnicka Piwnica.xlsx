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bójnicka Piw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SUM(C3:C9990)</f>
        <v/>
      </c>
      <c r="Q2" s="2">
        <f>ROUND(MIN(M2:M9990),1)</f>
        <v/>
      </c>
      <c r="R2" s="2">
        <f>ROUND(MAX(M2:M9990),1)</f>
        <v/>
      </c>
      <c r="S2" s="2">
        <f>ABS((R2)-(Q2))</f>
        <v/>
      </c>
      <c r="T2">
        <f>ROUND(ABS(MAX(K2:K9990)-MIN(K2:K9990)),1)</f>
        <v/>
      </c>
      <c r="U2">
        <f>ROUND(ABS(MAX(L2:L9990)-MIN(L2:L9990)),1)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1.3</v>
      </c>
      <c r="D3" s="4" t="n">
        <v>0</v>
      </c>
      <c r="E3" s="4" t="n">
        <v>-90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2.35</v>
      </c>
      <c r="D4" s="4" t="n">
        <v>117</v>
      </c>
      <c r="E4" s="4" t="n">
        <v>0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4.3</v>
      </c>
      <c r="D5" s="4" t="n">
        <v>37</v>
      </c>
      <c r="E5" s="4" t="n">
        <v>-4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P5" t="inlineStr">
        <is>
          <t>II otwór</t>
        </is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1.15</v>
      </c>
      <c r="D6" s="4" t="n">
        <v>175</v>
      </c>
      <c r="E6" s="4" t="n">
        <v>0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inlineStr">
        <is>
          <t>4</t>
        </is>
      </c>
      <c r="B7" s="3" t="inlineStr">
        <is>
          <t>5</t>
        </is>
      </c>
      <c r="C7" s="1" t="n">
        <v>2.7</v>
      </c>
      <c r="D7" s="4" t="n">
        <v>102</v>
      </c>
      <c r="E7" s="4" t="n">
        <v>-12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inlineStr">
        <is>
          <t>5</t>
        </is>
      </c>
      <c r="B8" s="3" t="inlineStr">
        <is>
          <t>6</t>
        </is>
      </c>
      <c r="C8" s="1" t="n">
        <v>2.2</v>
      </c>
      <c r="D8" s="4" t="n">
        <v>340</v>
      </c>
      <c r="E8" s="4" t="n">
        <v>-25</v>
      </c>
      <c r="F8" s="1">
        <f>C8*COS(RADIANS(E8))</f>
        <v/>
      </c>
      <c r="G8" s="1">
        <f>C8*COS(RADIANS(E8)) *SIN(RADIANS(D8))</f>
        <v/>
      </c>
      <c r="H8" s="1">
        <f>C8*COS(RADIANS(E8))*COS(RADIANS(D8))</f>
        <v/>
      </c>
      <c r="I8" s="1">
        <f>C8*SIN(RADIANS(E8))</f>
        <v/>
      </c>
      <c r="J8" s="1">
        <f>C8*COS(RADIANS(E8))*COS(RADIANS(D8-180))</f>
        <v/>
      </c>
      <c r="K8" s="1">
        <f>SUM(K7+G8)</f>
        <v/>
      </c>
      <c r="L8" s="1">
        <f>SUM(L7+H8)</f>
        <v/>
      </c>
      <c r="M8" s="1">
        <f>SUM(M7+I8)</f>
        <v/>
      </c>
      <c r="N8" s="1">
        <f>SUM(J8+N7)</f>
        <v/>
      </c>
      <c r="O8" s="2">
        <f>ROUND(SUM(O7+F8),1)</f>
        <v/>
      </c>
      <c r="P8" t="inlineStr">
        <is>
          <t>III otwór</t>
        </is>
      </c>
      <c r="Q8" s="4" t="n"/>
    </row>
    <row r="9">
      <c r="A9" s="3" t="n"/>
      <c r="B9" s="3" t="n"/>
      <c r="C9" s="1" t="n"/>
      <c r="D9" s="4" t="n"/>
      <c r="E9" s="4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2" t="n"/>
      <c r="Q9" s="4" t="n"/>
    </row>
    <row r="10">
      <c r="A10" s="3" t="n"/>
      <c r="B10" s="3" t="inlineStr">
        <is>
          <t>2</t>
        </is>
      </c>
      <c r="C10" s="1" t="n"/>
      <c r="D10" s="4" t="n"/>
      <c r="E10" s="4" t="n"/>
      <c r="F10" s="1" t="n"/>
      <c r="G10" s="1" t="n"/>
      <c r="H10" s="1" t="n"/>
      <c r="I10" s="1" t="n"/>
      <c r="J10" s="1" t="n"/>
      <c r="K10" s="1" t="n">
        <v>2.093865331842665</v>
      </c>
      <c r="L10" s="1" t="n">
        <v>-1.066877674387935</v>
      </c>
      <c r="M10" s="1" t="n">
        <v>-1.3</v>
      </c>
      <c r="N10" s="1">
        <f>SUM(J10+N9)</f>
        <v/>
      </c>
      <c r="O10" s="2">
        <f>ROUND(SUM(O9+F10),1)</f>
        <v/>
      </c>
      <c r="Q10" s="4" t="n"/>
    </row>
    <row r="11">
      <c r="A11" s="3" t="inlineStr">
        <is>
          <t>2</t>
        </is>
      </c>
      <c r="B11" s="3" t="inlineStr">
        <is>
          <t>2.1</t>
        </is>
      </c>
      <c r="C11" s="1" t="n">
        <v>2.35</v>
      </c>
      <c r="D11" s="4" t="n">
        <v>0</v>
      </c>
      <c r="E11" s="4" t="n">
        <v>-90</v>
      </c>
      <c r="F11" s="1">
        <f>C11*COS(RADIANS(E11))</f>
        <v/>
      </c>
      <c r="G11" s="1">
        <f>C11*COS(RADIANS(E11)) *SIN(RADIANS(D11))</f>
        <v/>
      </c>
      <c r="H11" s="1">
        <f>C11*COS(RADIANS(E11))*COS(RADIANS(D11))</f>
        <v/>
      </c>
      <c r="I11" s="1">
        <f>C11*SIN(RADIANS(E11))</f>
        <v/>
      </c>
      <c r="J11" s="1">
        <f>C11*COS(RADIANS(E11))*COS(RADIANS(D11-180))</f>
        <v/>
      </c>
      <c r="K11" s="1">
        <f>SUM(K10+G11)</f>
        <v/>
      </c>
      <c r="L11" s="1">
        <f>SUM(L10+H11)</f>
        <v/>
      </c>
      <c r="M11" s="1">
        <f>SUM(M10+I11)</f>
        <v/>
      </c>
      <c r="N11" s="1">
        <f>SUM(J11+N10)</f>
        <v/>
      </c>
      <c r="O11" s="2">
        <f>ROUND(SUM(O10+F11),1)</f>
        <v/>
      </c>
      <c r="P11" t="inlineStr">
        <is>
          <t>dolne piętro</t>
        </is>
      </c>
      <c r="Q11" s="4" t="n"/>
    </row>
    <row r="12">
      <c r="A12" s="3" t="inlineStr">
        <is>
          <t>2.1</t>
        </is>
      </c>
      <c r="B12" s="3" t="inlineStr">
        <is>
          <t>2.2</t>
        </is>
      </c>
      <c r="C12" s="1" t="n">
        <v>2</v>
      </c>
      <c r="D12" s="4" t="n">
        <v>63</v>
      </c>
      <c r="E12" s="4" t="n">
        <v>-15</v>
      </c>
      <c r="F12" s="1">
        <f>C12*COS(RADIANS(E12))</f>
        <v/>
      </c>
      <c r="G12" s="1">
        <f>C12*COS(RADIANS(E12)) *SIN(RADIANS(D12))</f>
        <v/>
      </c>
      <c r="H12" s="1">
        <f>C12*COS(RADIANS(E12))*COS(RADIANS(D12))</f>
        <v/>
      </c>
      <c r="I12" s="1">
        <f>C12*SIN(RADIANS(E12))</f>
        <v/>
      </c>
      <c r="J12" s="1">
        <f>C12*COS(RADIANS(E12))*COS(RADIANS(D12-180))</f>
        <v/>
      </c>
      <c r="K12" s="1">
        <f>SUM(K11+G12)</f>
        <v/>
      </c>
      <c r="L12" s="1">
        <f>SUM(L11+H12)</f>
        <v/>
      </c>
      <c r="M12" s="1">
        <f>SUM(M11+I12)</f>
        <v/>
      </c>
      <c r="N12" s="1">
        <f>SUM(J12+N11)</f>
        <v/>
      </c>
      <c r="O12" s="2">
        <f>ROUND(SUM(O11+F12),1)</f>
        <v/>
      </c>
      <c r="Q12" s="4" t="n"/>
    </row>
    <row r="13">
      <c r="A13" s="3" t="inlineStr">
        <is>
          <t>2.2</t>
        </is>
      </c>
      <c r="B13" s="3" t="inlineStr">
        <is>
          <t>2.3</t>
        </is>
      </c>
      <c r="C13" s="1" t="n">
        <v>3.1</v>
      </c>
      <c r="D13" s="4" t="n">
        <v>103</v>
      </c>
      <c r="E13" s="4" t="n">
        <v>36</v>
      </c>
      <c r="F13" s="1">
        <f>C13*COS(RADIANS(E13))</f>
        <v/>
      </c>
      <c r="G13" s="1">
        <f>C13*COS(RADIANS(E13)) *SIN(RADIANS(D13))</f>
        <v/>
      </c>
      <c r="H13" s="1">
        <f>C13*COS(RADIANS(E13))*COS(RADIANS(D13))</f>
        <v/>
      </c>
      <c r="I13" s="1">
        <f>C13*SIN(RADIANS(E13))</f>
        <v/>
      </c>
      <c r="J13" s="1">
        <f>C13*COS(RADIANS(E13))*COS(RADIANS(D13-180))</f>
        <v/>
      </c>
      <c r="K13" s="1">
        <f>SUM(K12+G13)</f>
        <v/>
      </c>
      <c r="L13" s="1">
        <f>SUM(L12+H13)</f>
        <v/>
      </c>
      <c r="M13" s="1">
        <f>SUM(M12+I13)</f>
        <v/>
      </c>
      <c r="N13" s="1">
        <f>SUM(J13+N12)</f>
        <v/>
      </c>
      <c r="O13" s="2">
        <f>ROUND(SUM(O12+F13),1)</f>
        <v/>
      </c>
      <c r="Q13" s="4" t="n"/>
    </row>
    <row r="14">
      <c r="A14" s="3" t="inlineStr">
        <is>
          <t>2.3</t>
        </is>
      </c>
      <c r="B14" s="3" t="inlineStr">
        <is>
          <t>5</t>
        </is>
      </c>
      <c r="C14" s="1" t="n">
        <v>2.05</v>
      </c>
      <c r="D14" s="4" t="n">
        <v>39</v>
      </c>
      <c r="E14" s="4" t="n">
        <v>7</v>
      </c>
      <c r="F14" s="1">
        <f>C14*COS(RADIANS(E14))</f>
        <v/>
      </c>
      <c r="G14" s="1">
        <f>C14*COS(RADIANS(E14)) *SIN(RADIANS(D14))</f>
        <v/>
      </c>
      <c r="H14" s="1">
        <f>C14*COS(RADIANS(E14))*COS(RADIANS(D14))</f>
        <v/>
      </c>
      <c r="I14" s="1">
        <f>C14*SIN(RADIANS(E14))</f>
        <v/>
      </c>
      <c r="J14" s="1">
        <f>C14*COS(RADIANS(E14))*COS(RADIANS(D14-180))</f>
        <v/>
      </c>
      <c r="K14" s="1">
        <f>SUM(K13+G14)</f>
        <v/>
      </c>
      <c r="L14" s="1">
        <f>SUM(L13+H14)</f>
        <v/>
      </c>
      <c r="M14" s="1">
        <f>SUM(M13+I14)</f>
        <v/>
      </c>
      <c r="N14" s="1">
        <f>SUM(J14+N13)</f>
        <v/>
      </c>
      <c r="O14" s="2">
        <f>ROUND(SUM(O13+F14),1)</f>
        <v/>
      </c>
    </row>
    <row r="15">
      <c r="A15" s="3" t="n"/>
      <c r="B15" s="3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2" t="n"/>
    </row>
    <row r="16">
      <c r="A16" t="inlineStr">
        <is>
          <t>Nazwa: Zbójnicka Piwnica</t>
        </is>
      </c>
      <c r="B16" s="3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2" t="n"/>
    </row>
    <row r="17">
      <c r="B17" s="3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</row>
    <row r="18">
      <c r="A18" t="inlineStr">
        <is>
          <t>Pomiary: J. Nowak, J. Ślusarczyk,  15. 07. 2007 r.</t>
        </is>
      </c>
      <c r="B18" s="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</row>
    <row r="19">
      <c r="A19" t="inlineStr">
        <is>
          <t>Wysokość: ok. 1240 m npm</t>
        </is>
      </c>
      <c r="B19" s="3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2" t="n"/>
    </row>
    <row r="20">
      <c r="A20" t="inlineStr">
        <is>
          <t>Wysokość nad dnem wąwozu: ok. 140 m</t>
        </is>
      </c>
      <c r="B20" s="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2" t="n"/>
    </row>
    <row r="21">
      <c r="A21" s="3" t="n"/>
      <c r="B21" s="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</row>
    <row r="22">
      <c r="A22" s="3" t="n"/>
      <c r="B22" s="3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