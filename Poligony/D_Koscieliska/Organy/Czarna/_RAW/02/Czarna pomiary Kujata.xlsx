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<sst xmlns="http://schemas.openxmlformats.org/spreadsheetml/2006/main" count="34" uniqueCount="32">
  <si>
    <t>Pomiary Kujata z 1981r. końcowych partii J. Czanej, nawiązane do pomiarów Borowca z 1972r.</t>
  </si>
  <si>
    <t>OCR z Google Gemini</t>
  </si>
  <si>
    <t>Różnica ręczny odczyt vs OCR</t>
  </si>
  <si>
    <t>S.</t>
  </si>
  <si>
    <t>C.</t>
  </si>
  <si>
    <t>Azymut</t>
  </si>
  <si>
    <t>Kąt pion.</t>
  </si>
  <si>
    <t>Odl. Rzecz.</t>
  </si>
  <si>
    <t>Uwagi</t>
  </si>
  <si>
    <t>Od (S.)</t>
  </si>
  <si>
    <t>Do (C)</t>
  </si>
  <si>
    <t>Odległość (m)</t>
  </si>
  <si>
    <t>0 - otwór III</t>
  </si>
  <si>
    <t>12 - S. Bernarda = 1200</t>
  </si>
  <si>
    <t>Korytarz Trzech Studni</t>
  </si>
  <si>
    <t>13 = 70 z ciągu głównego</t>
  </si>
  <si>
    <t>Korytarz Mamuci</t>
  </si>
  <si>
    <t>25 - 2500</t>
  </si>
  <si>
    <t>boczny korytarz</t>
  </si>
  <si>
    <t>65 - z ciągu głównego Borowca</t>
  </si>
  <si>
    <t>(w korytarzu Triumfalnym</t>
  </si>
  <si>
    <t>nad Brązowym Progiem)</t>
  </si>
  <si>
    <t>boczny korytarz, łączy się</t>
  </si>
  <si>
    <t>z ciągiem głównym w okolicy</t>
  </si>
  <si>
    <t>Mostu Trwogi (ciąg nie dowiązany z tej strony)</t>
  </si>
  <si>
    <t>Zgodnie z umową przesyłam dane pomiarowe będące w moim posiadaniu a dotyczące J. Czarnej - partie końcowe.</t>
  </si>
  <si>
    <t>Dane zestawione są tak, że można je od razu wprowadzić do liczydła w kolejności: Azymut, Upad, Długość. Dane obejmują dwa ciągi:</t>
  </si>
  <si>
    <t>Otwór /0/ -&gt; S. Bernartda /12/ -&gt; Kor. Trzech Studni /1200-1213/ i spowrotem do 12 -&gt; Korytarz Mamuci do końcowego zawaliska /12-26/ -&gt; boczny korytarz od p. 25 /2500-2507/</t>
  </si>
  <si>
    <t>Nawiązanie do ciągu głównego (Borowca) - mój punkt 13 pokrywa się z punktem 70 ciągu gł.</t>
  </si>
  <si>
    <t>Azymut i upad podane w stopniach (360*).</t>
  </si>
  <si>
    <t>Punkt 65 ciągu głównego (W Kor. Tryumfalnym nad Brązowym Progiem) -&gt; boczny korytarz (6500-6509) łączy się z Ciągiem Głównym w okolicy Mostu Trwogi (pomiar nie zamknięty).</t>
  </si>
  <si>
    <t>Azymut i upad podane w gradach (400*).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</si>
</sst>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75"/>
    <col customWidth="1" min="3" max="3" width="7.0"/>
    <col customWidth="1" min="4" max="4" width="8.13"/>
    <col customWidth="1" min="5" max="5" width="9.88"/>
    <col customWidth="1" min="6" max="6" width="20.0"/>
  </cols>
  <sheetData>
    <row r="1">
      <c r="A1" s="1" t="s">
        <v>0</v>
      </c>
      <c r="G1" s="2"/>
      <c r="H1" s="2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4"/>
      <c r="C2" s="4"/>
      <c r="D2" s="4"/>
      <c r="E2" s="4"/>
      <c r="F2" s="4"/>
      <c r="G2" s="2"/>
      <c r="H2" s="2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4"/>
      <c r="C3" s="4"/>
      <c r="D3" s="4"/>
      <c r="E3" s="4"/>
      <c r="F3" s="4"/>
      <c r="G3" s="2"/>
      <c r="H3" s="2"/>
      <c r="I3" s="4" t="s">
        <v>1</v>
      </c>
      <c r="N3" s="3"/>
      <c r="O3" s="4" t="s">
        <v>2</v>
      </c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2"/>
      <c r="H4" s="2"/>
      <c r="I4" s="4" t="s">
        <v>9</v>
      </c>
      <c r="J4" s="4" t="s">
        <v>10</v>
      </c>
      <c r="K4" s="4" t="s">
        <v>5</v>
      </c>
      <c r="L4" s="4" t="s">
        <v>6</v>
      </c>
      <c r="M4" s="4" t="s">
        <v>11</v>
      </c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0.0</v>
      </c>
      <c r="B5" s="5">
        <v>1.0</v>
      </c>
      <c r="C5" s="5">
        <v>165.0</v>
      </c>
      <c r="D5" s="5">
        <v>-22.0</v>
      </c>
      <c r="E5" s="5">
        <v>3.35</v>
      </c>
      <c r="F5" s="5" t="s">
        <v>12</v>
      </c>
      <c r="I5" s="5">
        <v>0.0</v>
      </c>
      <c r="J5" s="5">
        <v>1.0</v>
      </c>
      <c r="K5" s="5">
        <v>165.0</v>
      </c>
      <c r="L5" s="5">
        <v>-22.0</v>
      </c>
      <c r="M5" s="5">
        <v>3.35</v>
      </c>
      <c r="O5" s="6">
        <f t="shared" ref="O5:Q5" si="1">C5-K5</f>
        <v>0</v>
      </c>
      <c r="P5" s="6">
        <f t="shared" si="1"/>
        <v>0</v>
      </c>
      <c r="Q5" s="6">
        <f t="shared" si="1"/>
        <v>0</v>
      </c>
    </row>
    <row r="6">
      <c r="A6" s="5">
        <v>1.0</v>
      </c>
      <c r="B6" s="5">
        <v>2.0</v>
      </c>
      <c r="C6" s="5">
        <v>201.0</v>
      </c>
      <c r="D6" s="5">
        <v>0.0</v>
      </c>
      <c r="E6" s="5">
        <v>3.05</v>
      </c>
      <c r="I6" s="5">
        <v>1.0</v>
      </c>
      <c r="J6" s="5">
        <v>2.0</v>
      </c>
      <c r="K6" s="5">
        <v>201.0</v>
      </c>
      <c r="L6" s="5">
        <v>0.0</v>
      </c>
      <c r="M6" s="5">
        <v>3.05</v>
      </c>
      <c r="O6" s="6">
        <f t="shared" ref="O6:Q6" si="2">C6-K6</f>
        <v>0</v>
      </c>
      <c r="P6" s="6">
        <f t="shared" si="2"/>
        <v>0</v>
      </c>
      <c r="Q6" s="6">
        <f t="shared" si="2"/>
        <v>0</v>
      </c>
    </row>
    <row r="7">
      <c r="A7" s="5">
        <v>2.0</v>
      </c>
      <c r="B7" s="5">
        <v>3.0</v>
      </c>
      <c r="C7" s="5">
        <v>199.0</v>
      </c>
      <c r="D7" s="5">
        <v>-11.0</v>
      </c>
      <c r="E7" s="5">
        <v>9.42</v>
      </c>
      <c r="I7" s="5">
        <v>2.0</v>
      </c>
      <c r="J7" s="5">
        <v>3.0</v>
      </c>
      <c r="K7" s="5">
        <v>199.0</v>
      </c>
      <c r="L7" s="5">
        <v>-11.0</v>
      </c>
      <c r="M7" s="5">
        <v>9.42</v>
      </c>
      <c r="O7" s="6">
        <f t="shared" ref="O7:Q7" si="3">C7-K7</f>
        <v>0</v>
      </c>
      <c r="P7" s="6">
        <f t="shared" si="3"/>
        <v>0</v>
      </c>
      <c r="Q7" s="6">
        <f t="shared" si="3"/>
        <v>0</v>
      </c>
    </row>
    <row r="8">
      <c r="A8" s="5">
        <v>3.0</v>
      </c>
      <c r="B8" s="5">
        <v>4.0</v>
      </c>
      <c r="C8" s="5">
        <v>180.0</v>
      </c>
      <c r="D8" s="5">
        <v>8.0</v>
      </c>
      <c r="E8" s="5">
        <v>7.25</v>
      </c>
      <c r="I8" s="5">
        <v>3.0</v>
      </c>
      <c r="J8" s="5">
        <v>4.0</v>
      </c>
      <c r="K8" s="5">
        <v>180.0</v>
      </c>
      <c r="L8" s="6">
        <f>+8</f>
        <v>8</v>
      </c>
      <c r="M8" s="5">
        <v>7.25</v>
      </c>
      <c r="O8" s="6">
        <f t="shared" ref="O8:Q8" si="4">C8-K8</f>
        <v>0</v>
      </c>
      <c r="P8" s="6">
        <f t="shared" si="4"/>
        <v>0</v>
      </c>
      <c r="Q8" s="6">
        <f t="shared" si="4"/>
        <v>0</v>
      </c>
    </row>
    <row r="9">
      <c r="A9" s="5">
        <v>4.0</v>
      </c>
      <c r="B9" s="5">
        <v>5.0</v>
      </c>
      <c r="C9" s="5">
        <v>194.0</v>
      </c>
      <c r="D9" s="5">
        <v>-23.0</v>
      </c>
      <c r="E9" s="5">
        <v>10.97</v>
      </c>
      <c r="I9" s="5">
        <v>4.0</v>
      </c>
      <c r="J9" s="5">
        <v>5.0</v>
      </c>
      <c r="K9" s="5">
        <v>194.0</v>
      </c>
      <c r="L9" s="5">
        <v>-23.0</v>
      </c>
      <c r="M9" s="5">
        <v>10.97</v>
      </c>
      <c r="O9" s="6">
        <f t="shared" ref="O9:Q9" si="5">C9-K9</f>
        <v>0</v>
      </c>
      <c r="P9" s="6">
        <f t="shared" si="5"/>
        <v>0</v>
      </c>
      <c r="Q9" s="6">
        <f t="shared" si="5"/>
        <v>0</v>
      </c>
    </row>
    <row r="10">
      <c r="A10" s="5">
        <v>5.0</v>
      </c>
      <c r="B10" s="5">
        <v>6.0</v>
      </c>
      <c r="C10" s="5">
        <v>222.0</v>
      </c>
      <c r="D10" s="5">
        <v>-46.0</v>
      </c>
      <c r="E10" s="5">
        <v>10.15</v>
      </c>
      <c r="I10" s="5">
        <v>5.0</v>
      </c>
      <c r="J10" s="5">
        <v>6.0</v>
      </c>
      <c r="K10" s="5">
        <v>222.0</v>
      </c>
      <c r="L10" s="5">
        <v>-46.0</v>
      </c>
      <c r="M10" s="5">
        <v>10.15</v>
      </c>
      <c r="O10" s="6">
        <f t="shared" ref="O10:Q10" si="6">C10-K10</f>
        <v>0</v>
      </c>
      <c r="P10" s="6">
        <f t="shared" si="6"/>
        <v>0</v>
      </c>
      <c r="Q10" s="6">
        <f t="shared" si="6"/>
        <v>0</v>
      </c>
    </row>
    <row r="11">
      <c r="A11" s="5">
        <v>6.0</v>
      </c>
      <c r="B11" s="5">
        <v>7.0</v>
      </c>
      <c r="C11" s="5">
        <v>240.0</v>
      </c>
      <c r="D11" s="5">
        <v>-64.0</v>
      </c>
      <c r="E11" s="5">
        <v>4.35</v>
      </c>
      <c r="I11" s="5">
        <v>6.0</v>
      </c>
      <c r="J11" s="5">
        <v>7.0</v>
      </c>
      <c r="K11" s="5">
        <v>240.0</v>
      </c>
      <c r="L11" s="5">
        <v>-64.0</v>
      </c>
      <c r="M11" s="5">
        <v>4.35</v>
      </c>
      <c r="O11" s="6">
        <f t="shared" ref="O11:Q11" si="7">C11-K11</f>
        <v>0</v>
      </c>
      <c r="P11" s="6">
        <f t="shared" si="7"/>
        <v>0</v>
      </c>
      <c r="Q11" s="6">
        <f t="shared" si="7"/>
        <v>0</v>
      </c>
    </row>
    <row r="12">
      <c r="A12" s="5">
        <v>7.0</v>
      </c>
      <c r="B12" s="5">
        <v>8.0</v>
      </c>
      <c r="C12" s="5">
        <v>326.0</v>
      </c>
      <c r="D12" s="5">
        <v>-63.0</v>
      </c>
      <c r="E12" s="5">
        <v>2.17</v>
      </c>
      <c r="I12" s="5">
        <v>7.0</v>
      </c>
      <c r="J12" s="5">
        <v>8.0</v>
      </c>
      <c r="K12" s="5">
        <v>326.0</v>
      </c>
      <c r="L12" s="5">
        <v>-63.0</v>
      </c>
      <c r="M12" s="5">
        <v>2.17</v>
      </c>
      <c r="O12" s="6">
        <f t="shared" ref="O12:Q12" si="8">C12-K12</f>
        <v>0</v>
      </c>
      <c r="P12" s="6">
        <f t="shared" si="8"/>
        <v>0</v>
      </c>
      <c r="Q12" s="6">
        <f t="shared" si="8"/>
        <v>0</v>
      </c>
    </row>
    <row r="13">
      <c r="A13" s="5">
        <v>8.0</v>
      </c>
      <c r="B13" s="5">
        <v>9.0</v>
      </c>
      <c r="C13" s="5">
        <v>315.0</v>
      </c>
      <c r="D13" s="5">
        <v>-39.0</v>
      </c>
      <c r="E13" s="5">
        <v>3.03</v>
      </c>
      <c r="I13" s="5">
        <v>8.0</v>
      </c>
      <c r="J13" s="5">
        <v>9.0</v>
      </c>
      <c r="K13" s="5">
        <v>315.0</v>
      </c>
      <c r="L13" s="5">
        <v>-39.0</v>
      </c>
      <c r="M13" s="5">
        <v>3.03</v>
      </c>
      <c r="O13" s="6">
        <f t="shared" ref="O13:Q13" si="9">C13-K13</f>
        <v>0</v>
      </c>
      <c r="P13" s="6">
        <f t="shared" si="9"/>
        <v>0</v>
      </c>
      <c r="Q13" s="6">
        <f t="shared" si="9"/>
        <v>0</v>
      </c>
    </row>
    <row r="14">
      <c r="A14" s="5">
        <v>9.0</v>
      </c>
      <c r="B14" s="5">
        <v>10.0</v>
      </c>
      <c r="C14" s="5">
        <v>192.0</v>
      </c>
      <c r="D14" s="5">
        <v>-41.0</v>
      </c>
      <c r="E14" s="5">
        <v>8.4</v>
      </c>
      <c r="I14" s="5">
        <v>9.0</v>
      </c>
      <c r="J14" s="5">
        <v>10.0</v>
      </c>
      <c r="K14" s="5">
        <v>192.0</v>
      </c>
      <c r="L14" s="5">
        <v>-41.0</v>
      </c>
      <c r="M14" s="5">
        <v>8.4</v>
      </c>
      <c r="O14" s="6">
        <f t="shared" ref="O14:Q14" si="10">C14-K14</f>
        <v>0</v>
      </c>
      <c r="P14" s="6">
        <f t="shared" si="10"/>
        <v>0</v>
      </c>
      <c r="Q14" s="6">
        <f t="shared" si="10"/>
        <v>0</v>
      </c>
    </row>
    <row r="15">
      <c r="A15" s="5">
        <v>10.0</v>
      </c>
      <c r="B15" s="5">
        <v>11.0</v>
      </c>
      <c r="C15" s="5">
        <v>217.0</v>
      </c>
      <c r="D15" s="5">
        <v>-49.0</v>
      </c>
      <c r="E15" s="5">
        <v>20.32</v>
      </c>
      <c r="I15" s="5">
        <v>10.0</v>
      </c>
      <c r="J15" s="5">
        <v>11.0</v>
      </c>
      <c r="K15" s="5">
        <v>217.0</v>
      </c>
      <c r="L15" s="5">
        <v>-49.0</v>
      </c>
      <c r="M15" s="5">
        <v>20.32</v>
      </c>
      <c r="O15" s="6">
        <f t="shared" ref="O15:Q15" si="11">C15-K15</f>
        <v>0</v>
      </c>
      <c r="P15" s="6">
        <f t="shared" si="11"/>
        <v>0</v>
      </c>
      <c r="Q15" s="6">
        <f t="shared" si="11"/>
        <v>0</v>
      </c>
    </row>
    <row r="16">
      <c r="A16" s="5">
        <v>11.0</v>
      </c>
      <c r="B16" s="5">
        <v>12.0</v>
      </c>
      <c r="C16" s="5">
        <v>253.0</v>
      </c>
      <c r="D16" s="5">
        <v>-11.0</v>
      </c>
      <c r="E16" s="5">
        <v>14.0</v>
      </c>
      <c r="F16" s="5" t="s">
        <v>13</v>
      </c>
      <c r="I16" s="5">
        <v>11.0</v>
      </c>
      <c r="J16" s="5">
        <v>12.0</v>
      </c>
      <c r="K16" s="5">
        <v>253.0</v>
      </c>
      <c r="L16" s="5">
        <v>-11.0</v>
      </c>
      <c r="M16" s="5">
        <v>14.0</v>
      </c>
      <c r="O16" s="6">
        <f t="shared" ref="O16:Q16" si="12">C16-K16</f>
        <v>0</v>
      </c>
      <c r="P16" s="6">
        <f t="shared" si="12"/>
        <v>0</v>
      </c>
      <c r="Q16" s="6">
        <f t="shared" si="12"/>
        <v>0</v>
      </c>
    </row>
    <row r="17">
      <c r="A17" s="5">
        <v>1200.0</v>
      </c>
      <c r="B17" s="5">
        <v>1201.0</v>
      </c>
      <c r="C17" s="5">
        <v>180.0</v>
      </c>
      <c r="D17" s="5">
        <v>15.3</v>
      </c>
      <c r="E17" s="5">
        <v>15.5</v>
      </c>
      <c r="F17" s="5" t="s">
        <v>14</v>
      </c>
      <c r="I17" s="5">
        <v>1200.0</v>
      </c>
      <c r="J17" s="5">
        <v>1201.0</v>
      </c>
      <c r="K17" s="5">
        <v>180.0</v>
      </c>
      <c r="L17" s="6">
        <f>+15.3</f>
        <v>15.3</v>
      </c>
      <c r="M17" s="5">
        <v>15.5</v>
      </c>
      <c r="O17" s="6">
        <f t="shared" ref="O17:Q17" si="13">C17-K17</f>
        <v>0</v>
      </c>
      <c r="P17" s="6">
        <f t="shared" si="13"/>
        <v>0</v>
      </c>
      <c r="Q17" s="6">
        <f t="shared" si="13"/>
        <v>0</v>
      </c>
    </row>
    <row r="18">
      <c r="A18" s="5">
        <v>1201.0</v>
      </c>
      <c r="B18" s="5">
        <v>1202.0</v>
      </c>
      <c r="C18" s="5">
        <v>203.0</v>
      </c>
      <c r="D18" s="5">
        <v>8.1</v>
      </c>
      <c r="E18" s="5">
        <v>2.85</v>
      </c>
      <c r="I18" s="5">
        <v>1201.0</v>
      </c>
      <c r="J18" s="5">
        <v>1202.0</v>
      </c>
      <c r="K18" s="5">
        <v>203.0</v>
      </c>
      <c r="L18" s="6">
        <f>+8.1</f>
        <v>8.1</v>
      </c>
      <c r="M18" s="5">
        <v>2.85</v>
      </c>
      <c r="O18" s="6">
        <f t="shared" ref="O18:Q18" si="14">C18-K18</f>
        <v>0</v>
      </c>
      <c r="P18" s="6">
        <f t="shared" si="14"/>
        <v>0</v>
      </c>
      <c r="Q18" s="6">
        <f t="shared" si="14"/>
        <v>0</v>
      </c>
    </row>
    <row r="19">
      <c r="A19" s="5">
        <v>1202.0</v>
      </c>
      <c r="B19" s="5">
        <v>1203.0</v>
      </c>
      <c r="C19" s="5">
        <v>184.0</v>
      </c>
      <c r="D19" s="5">
        <v>-18.0</v>
      </c>
      <c r="E19" s="5">
        <v>3.87</v>
      </c>
      <c r="I19" s="5">
        <v>1202.0</v>
      </c>
      <c r="J19" s="5">
        <v>1203.0</v>
      </c>
      <c r="K19" s="5">
        <v>184.0</v>
      </c>
      <c r="L19" s="5">
        <v>-18.0</v>
      </c>
      <c r="M19" s="5">
        <v>3.87</v>
      </c>
      <c r="O19" s="6">
        <f t="shared" ref="O19:Q19" si="15">C19-K19</f>
        <v>0</v>
      </c>
      <c r="P19" s="6">
        <f t="shared" si="15"/>
        <v>0</v>
      </c>
      <c r="Q19" s="6">
        <f t="shared" si="15"/>
        <v>0</v>
      </c>
    </row>
    <row r="20">
      <c r="A20" s="5">
        <v>1203.0</v>
      </c>
      <c r="B20" s="5">
        <v>1204.0</v>
      </c>
      <c r="C20" s="5">
        <v>211.0</v>
      </c>
      <c r="D20" s="5">
        <v>26.1</v>
      </c>
      <c r="E20" s="5">
        <v>16.34</v>
      </c>
      <c r="I20" s="5">
        <v>1203.0</v>
      </c>
      <c r="J20" s="5">
        <v>1204.0</v>
      </c>
      <c r="K20" s="5">
        <v>211.0</v>
      </c>
      <c r="L20" s="6">
        <f>+26.1</f>
        <v>26.1</v>
      </c>
      <c r="M20" s="5">
        <v>16.34</v>
      </c>
      <c r="O20" s="6">
        <f t="shared" ref="O20:Q20" si="16">C20-K20</f>
        <v>0</v>
      </c>
      <c r="P20" s="6">
        <f t="shared" si="16"/>
        <v>0</v>
      </c>
      <c r="Q20" s="6">
        <f t="shared" si="16"/>
        <v>0</v>
      </c>
    </row>
    <row r="21">
      <c r="A21" s="5">
        <v>1204.0</v>
      </c>
      <c r="B21" s="5">
        <v>1205.0</v>
      </c>
      <c r="C21" s="5">
        <v>224.0</v>
      </c>
      <c r="D21" s="5">
        <v>14.4</v>
      </c>
      <c r="E21" s="5">
        <v>12.35</v>
      </c>
      <c r="I21" s="5">
        <v>1204.0</v>
      </c>
      <c r="J21" s="5">
        <v>1205.0</v>
      </c>
      <c r="K21" s="5">
        <v>224.0</v>
      </c>
      <c r="L21" s="6">
        <f>+14.4</f>
        <v>14.4</v>
      </c>
      <c r="M21" s="5">
        <v>12.35</v>
      </c>
      <c r="O21" s="6">
        <f t="shared" ref="O21:Q21" si="17">C21-K21</f>
        <v>0</v>
      </c>
      <c r="P21" s="6">
        <f t="shared" si="17"/>
        <v>0</v>
      </c>
      <c r="Q21" s="6">
        <f t="shared" si="17"/>
        <v>0</v>
      </c>
    </row>
    <row r="22">
      <c r="A22" s="5">
        <v>1205.0</v>
      </c>
      <c r="B22" s="5">
        <v>1206.0</v>
      </c>
      <c r="C22" s="5">
        <v>230.0</v>
      </c>
      <c r="D22" s="5">
        <v>-14.4</v>
      </c>
      <c r="E22" s="5">
        <v>11.21</v>
      </c>
      <c r="I22" s="5">
        <v>1205.0</v>
      </c>
      <c r="J22" s="5">
        <v>1206.0</v>
      </c>
      <c r="K22" s="5">
        <v>230.0</v>
      </c>
      <c r="L22" s="5">
        <v>-14.4</v>
      </c>
      <c r="M22" s="5">
        <v>11.21</v>
      </c>
      <c r="O22" s="6">
        <f t="shared" ref="O22:Q22" si="18">C22-K22</f>
        <v>0</v>
      </c>
      <c r="P22" s="6">
        <f t="shared" si="18"/>
        <v>0</v>
      </c>
      <c r="Q22" s="6">
        <f t="shared" si="18"/>
        <v>0</v>
      </c>
    </row>
    <row r="23">
      <c r="A23" s="5">
        <v>1206.0</v>
      </c>
      <c r="B23" s="5">
        <v>1207.0</v>
      </c>
      <c r="C23" s="5">
        <v>239.0</v>
      </c>
      <c r="D23" s="5">
        <v>-8.1</v>
      </c>
      <c r="E23" s="5">
        <v>8.85</v>
      </c>
      <c r="I23" s="5">
        <v>1206.0</v>
      </c>
      <c r="J23" s="5">
        <v>1207.0</v>
      </c>
      <c r="K23" s="5">
        <v>239.0</v>
      </c>
      <c r="L23" s="5">
        <v>-8.1</v>
      </c>
      <c r="M23" s="5">
        <v>8.85</v>
      </c>
      <c r="O23" s="6">
        <f t="shared" ref="O23:Q23" si="19">C23-K23</f>
        <v>0</v>
      </c>
      <c r="P23" s="6">
        <f t="shared" si="19"/>
        <v>0</v>
      </c>
      <c r="Q23" s="6">
        <f t="shared" si="19"/>
        <v>0</v>
      </c>
    </row>
    <row r="24">
      <c r="A24" s="5">
        <v>1207.0</v>
      </c>
      <c r="B24" s="5">
        <v>1208.0</v>
      </c>
      <c r="C24" s="5">
        <v>221.0</v>
      </c>
      <c r="D24" s="5">
        <v>-15.3</v>
      </c>
      <c r="E24" s="5">
        <v>9.07</v>
      </c>
      <c r="I24" s="5">
        <v>1207.0</v>
      </c>
      <c r="J24" s="5">
        <v>1208.0</v>
      </c>
      <c r="K24" s="5">
        <v>221.0</v>
      </c>
      <c r="L24" s="5">
        <v>-15.3</v>
      </c>
      <c r="M24" s="5">
        <v>9.07</v>
      </c>
      <c r="O24" s="6">
        <f t="shared" ref="O24:Q24" si="20">C24-K24</f>
        <v>0</v>
      </c>
      <c r="P24" s="6">
        <f t="shared" si="20"/>
        <v>0</v>
      </c>
      <c r="Q24" s="6">
        <f t="shared" si="20"/>
        <v>0</v>
      </c>
    </row>
    <row r="25">
      <c r="A25" s="5">
        <v>1208.0</v>
      </c>
      <c r="B25" s="5">
        <v>1209.0</v>
      </c>
      <c r="C25" s="5">
        <v>239.0</v>
      </c>
      <c r="D25" s="5">
        <v>-13.5</v>
      </c>
      <c r="E25" s="5">
        <v>5.85</v>
      </c>
      <c r="I25" s="5">
        <v>1208.0</v>
      </c>
      <c r="J25" s="5">
        <v>1209.0</v>
      </c>
      <c r="K25" s="5">
        <v>239.0</v>
      </c>
      <c r="L25" s="5">
        <v>-13.5</v>
      </c>
      <c r="M25" s="5">
        <v>5.85</v>
      </c>
      <c r="O25" s="6">
        <f t="shared" ref="O25:Q25" si="21">C25-K25</f>
        <v>0</v>
      </c>
      <c r="P25" s="6">
        <f t="shared" si="21"/>
        <v>0</v>
      </c>
      <c r="Q25" s="6">
        <f t="shared" si="21"/>
        <v>0</v>
      </c>
    </row>
    <row r="26">
      <c r="A26" s="5">
        <v>1209.0</v>
      </c>
      <c r="B26" s="5">
        <v>1210.0</v>
      </c>
      <c r="C26" s="5">
        <v>273.0</v>
      </c>
      <c r="D26" s="5">
        <v>-27.0</v>
      </c>
      <c r="E26" s="5">
        <v>6.8</v>
      </c>
      <c r="I26" s="5">
        <v>1209.0</v>
      </c>
      <c r="J26" s="5">
        <v>1210.0</v>
      </c>
      <c r="K26" s="5">
        <v>273.0</v>
      </c>
      <c r="L26" s="5">
        <v>-27.0</v>
      </c>
      <c r="M26" s="5">
        <v>6.8</v>
      </c>
      <c r="O26" s="6">
        <f t="shared" ref="O26:Q26" si="22">C26-K26</f>
        <v>0</v>
      </c>
      <c r="P26" s="6">
        <f t="shared" si="22"/>
        <v>0</v>
      </c>
      <c r="Q26" s="6">
        <f t="shared" si="22"/>
        <v>0</v>
      </c>
    </row>
    <row r="27">
      <c r="A27" s="5">
        <v>1210.0</v>
      </c>
      <c r="B27" s="5">
        <v>1211.0</v>
      </c>
      <c r="C27" s="5">
        <v>275.0</v>
      </c>
      <c r="D27" s="5">
        <v>-15.3</v>
      </c>
      <c r="E27" s="5">
        <v>3.58</v>
      </c>
      <c r="I27" s="5">
        <v>1210.0</v>
      </c>
      <c r="J27" s="5">
        <v>1211.0</v>
      </c>
      <c r="K27" s="5">
        <v>275.0</v>
      </c>
      <c r="L27" s="5">
        <v>-15.3</v>
      </c>
      <c r="M27" s="5">
        <v>3.58</v>
      </c>
      <c r="O27" s="6">
        <f t="shared" ref="O27:Q27" si="23">C27-K27</f>
        <v>0</v>
      </c>
      <c r="P27" s="6">
        <f t="shared" si="23"/>
        <v>0</v>
      </c>
      <c r="Q27" s="6">
        <f t="shared" si="23"/>
        <v>0</v>
      </c>
    </row>
    <row r="28">
      <c r="A28" s="5">
        <v>1211.0</v>
      </c>
      <c r="B28" s="5">
        <v>1212.0</v>
      </c>
      <c r="C28" s="5">
        <v>249.0</v>
      </c>
      <c r="D28" s="5">
        <v>26.1</v>
      </c>
      <c r="E28" s="5">
        <v>3.92</v>
      </c>
      <c r="I28" s="5">
        <v>1211.0</v>
      </c>
      <c r="J28" s="5">
        <v>1212.0</v>
      </c>
      <c r="K28" s="5">
        <v>249.0</v>
      </c>
      <c r="L28" s="6">
        <f>+26.1</f>
        <v>26.1</v>
      </c>
      <c r="M28" s="5">
        <v>3.92</v>
      </c>
      <c r="O28" s="6">
        <f t="shared" ref="O28:Q28" si="24">C28-K28</f>
        <v>0</v>
      </c>
      <c r="P28" s="6">
        <f t="shared" si="24"/>
        <v>0</v>
      </c>
      <c r="Q28" s="6">
        <f t="shared" si="24"/>
        <v>0</v>
      </c>
    </row>
    <row r="29">
      <c r="A29" s="5">
        <v>1212.0</v>
      </c>
      <c r="B29" s="5">
        <v>1213.0</v>
      </c>
      <c r="C29" s="5">
        <v>257.0</v>
      </c>
      <c r="D29" s="5">
        <v>-48.6</v>
      </c>
      <c r="E29" s="5">
        <v>8.58</v>
      </c>
      <c r="I29" s="5">
        <v>1212.0</v>
      </c>
      <c r="J29" s="5">
        <v>1213.0</v>
      </c>
      <c r="K29" s="5">
        <v>257.0</v>
      </c>
      <c r="L29" s="5">
        <v>-48.6</v>
      </c>
      <c r="M29" s="5">
        <v>8.58</v>
      </c>
      <c r="O29" s="6">
        <f t="shared" ref="O29:Q29" si="25">C29-K29</f>
        <v>0</v>
      </c>
      <c r="P29" s="6">
        <f t="shared" si="25"/>
        <v>0</v>
      </c>
      <c r="Q29" s="6">
        <f t="shared" si="25"/>
        <v>0</v>
      </c>
    </row>
    <row r="30">
      <c r="A30" s="5">
        <v>12.0</v>
      </c>
      <c r="B30" s="5">
        <v>13.0</v>
      </c>
      <c r="C30" s="5">
        <v>211.0</v>
      </c>
      <c r="D30" s="5">
        <v>11.0</v>
      </c>
      <c r="E30" s="5">
        <v>14.4</v>
      </c>
      <c r="F30" s="5" t="s">
        <v>15</v>
      </c>
      <c r="I30" s="5">
        <v>12.0</v>
      </c>
      <c r="J30" s="5">
        <v>13.0</v>
      </c>
      <c r="K30" s="5">
        <v>211.0</v>
      </c>
      <c r="L30" s="6">
        <f>+11</f>
        <v>11</v>
      </c>
      <c r="M30" s="5">
        <v>14.4</v>
      </c>
      <c r="O30" s="6">
        <f t="shared" ref="O30:Q30" si="26">C30-K30</f>
        <v>0</v>
      </c>
      <c r="P30" s="6">
        <f t="shared" si="26"/>
        <v>0</v>
      </c>
      <c r="Q30" s="6">
        <f t="shared" si="26"/>
        <v>0</v>
      </c>
    </row>
    <row r="31">
      <c r="A31" s="5">
        <v>13.0</v>
      </c>
      <c r="B31" s="5">
        <v>14.0</v>
      </c>
      <c r="C31" s="5">
        <v>222.0</v>
      </c>
      <c r="D31" s="5">
        <v>5.2</v>
      </c>
      <c r="E31" s="5">
        <v>17.7</v>
      </c>
      <c r="F31" s="5" t="s">
        <v>16</v>
      </c>
      <c r="I31" s="5">
        <v>13.0</v>
      </c>
      <c r="J31" s="5">
        <v>14.0</v>
      </c>
      <c r="K31" s="5">
        <v>222.0</v>
      </c>
      <c r="L31" s="6">
        <f>+5.2</f>
        <v>5.2</v>
      </c>
      <c r="M31" s="5">
        <v>17.7</v>
      </c>
      <c r="O31" s="6">
        <f t="shared" ref="O31:Q31" si="27">C31-K31</f>
        <v>0</v>
      </c>
      <c r="P31" s="6">
        <f t="shared" si="27"/>
        <v>0</v>
      </c>
      <c r="Q31" s="6">
        <f t="shared" si="27"/>
        <v>0</v>
      </c>
    </row>
    <row r="32">
      <c r="A32" s="5">
        <v>14.0</v>
      </c>
      <c r="B32" s="5">
        <v>15.0</v>
      </c>
      <c r="C32" s="5">
        <v>218.0</v>
      </c>
      <c r="D32" s="5">
        <v>-1.6</v>
      </c>
      <c r="E32" s="5">
        <v>17.43</v>
      </c>
      <c r="I32" s="5">
        <v>14.0</v>
      </c>
      <c r="J32" s="5">
        <v>15.0</v>
      </c>
      <c r="K32" s="5">
        <v>218.0</v>
      </c>
      <c r="L32" s="5">
        <v>-1.6</v>
      </c>
      <c r="M32" s="5">
        <v>17.43</v>
      </c>
      <c r="O32" s="6">
        <f t="shared" ref="O32:Q32" si="28">C32-K32</f>
        <v>0</v>
      </c>
      <c r="P32" s="6">
        <f t="shared" si="28"/>
        <v>0</v>
      </c>
      <c r="Q32" s="6">
        <f t="shared" si="28"/>
        <v>0</v>
      </c>
    </row>
    <row r="33">
      <c r="A33" s="5">
        <v>15.0</v>
      </c>
      <c r="B33" s="5">
        <v>16.0</v>
      </c>
      <c r="C33" s="5">
        <v>240.0</v>
      </c>
      <c r="D33" s="5">
        <v>5.5</v>
      </c>
      <c r="E33" s="5">
        <v>19.1</v>
      </c>
      <c r="I33" s="5">
        <v>15.0</v>
      </c>
      <c r="J33" s="5">
        <v>16.0</v>
      </c>
      <c r="K33" s="5">
        <v>240.0</v>
      </c>
      <c r="L33" s="6">
        <f>+5.5</f>
        <v>5.5</v>
      </c>
      <c r="M33" s="5">
        <v>19.1</v>
      </c>
      <c r="O33" s="6">
        <f t="shared" ref="O33:Q33" si="29">C33-K33</f>
        <v>0</v>
      </c>
      <c r="P33" s="6">
        <f t="shared" si="29"/>
        <v>0</v>
      </c>
      <c r="Q33" s="6">
        <f t="shared" si="29"/>
        <v>0</v>
      </c>
    </row>
    <row r="34">
      <c r="A34" s="5">
        <v>16.0</v>
      </c>
      <c r="B34" s="5">
        <v>17.0</v>
      </c>
      <c r="C34" s="5">
        <v>242.0</v>
      </c>
      <c r="D34" s="5">
        <v>-5.6</v>
      </c>
      <c r="E34" s="5">
        <v>18.32</v>
      </c>
      <c r="I34" s="5">
        <v>16.0</v>
      </c>
      <c r="J34" s="5">
        <v>17.0</v>
      </c>
      <c r="K34" s="5">
        <v>242.0</v>
      </c>
      <c r="L34" s="5">
        <v>-5.6</v>
      </c>
      <c r="M34" s="5">
        <v>18.32</v>
      </c>
      <c r="O34" s="6">
        <f t="shared" ref="O34:Q34" si="30">C34-K34</f>
        <v>0</v>
      </c>
      <c r="P34" s="6">
        <f t="shared" si="30"/>
        <v>0</v>
      </c>
      <c r="Q34" s="6">
        <f t="shared" si="30"/>
        <v>0</v>
      </c>
    </row>
    <row r="35">
      <c r="A35" s="5">
        <v>17.0</v>
      </c>
      <c r="B35" s="5">
        <v>18.0</v>
      </c>
      <c r="C35" s="5">
        <v>252.0</v>
      </c>
      <c r="D35" s="5">
        <v>-0.6</v>
      </c>
      <c r="E35" s="5">
        <v>17.5</v>
      </c>
      <c r="I35" s="5">
        <v>17.0</v>
      </c>
      <c r="J35" s="5">
        <v>18.0</v>
      </c>
      <c r="K35" s="5">
        <v>252.0</v>
      </c>
      <c r="L35" s="5">
        <v>-0.6</v>
      </c>
      <c r="M35" s="5">
        <v>17.5</v>
      </c>
      <c r="O35" s="6">
        <f t="shared" ref="O35:Q35" si="31">C35-K35</f>
        <v>0</v>
      </c>
      <c r="P35" s="6">
        <f t="shared" si="31"/>
        <v>0</v>
      </c>
      <c r="Q35" s="6">
        <f t="shared" si="31"/>
        <v>0</v>
      </c>
    </row>
    <row r="36">
      <c r="A36" s="5">
        <v>18.0</v>
      </c>
      <c r="B36" s="5">
        <v>19.0</v>
      </c>
      <c r="C36" s="5">
        <v>195.0</v>
      </c>
      <c r="D36" s="5">
        <v>4.6</v>
      </c>
      <c r="E36" s="5">
        <v>16.08</v>
      </c>
      <c r="I36" s="5">
        <v>18.0</v>
      </c>
      <c r="J36" s="5">
        <v>19.0</v>
      </c>
      <c r="K36" s="5">
        <v>195.0</v>
      </c>
      <c r="L36" s="6">
        <f>+4.6</f>
        <v>4.6</v>
      </c>
      <c r="M36" s="5">
        <v>16.08</v>
      </c>
      <c r="O36" s="6">
        <f t="shared" ref="O36:Q36" si="32">C36-K36</f>
        <v>0</v>
      </c>
      <c r="P36" s="6">
        <f t="shared" si="32"/>
        <v>0</v>
      </c>
      <c r="Q36" s="6">
        <f t="shared" si="32"/>
        <v>0</v>
      </c>
    </row>
    <row r="37">
      <c r="A37" s="5">
        <v>19.0</v>
      </c>
      <c r="B37" s="5">
        <v>20.0</v>
      </c>
      <c r="C37" s="5">
        <v>236.0</v>
      </c>
      <c r="D37" s="5">
        <v>8.9</v>
      </c>
      <c r="E37" s="5">
        <v>9.43</v>
      </c>
      <c r="I37" s="5">
        <v>19.0</v>
      </c>
      <c r="J37" s="5">
        <v>20.0</v>
      </c>
      <c r="K37" s="5">
        <v>236.0</v>
      </c>
      <c r="L37" s="6">
        <f>+8.9</f>
        <v>8.9</v>
      </c>
      <c r="M37" s="5">
        <v>9.43</v>
      </c>
      <c r="O37" s="6">
        <f t="shared" ref="O37:Q37" si="33">C37-K37</f>
        <v>0</v>
      </c>
      <c r="P37" s="6">
        <f t="shared" si="33"/>
        <v>0</v>
      </c>
      <c r="Q37" s="6">
        <f t="shared" si="33"/>
        <v>0</v>
      </c>
    </row>
    <row r="38">
      <c r="A38" s="5">
        <v>20.0</v>
      </c>
      <c r="B38" s="5">
        <v>21.0</v>
      </c>
      <c r="C38" s="5">
        <v>195.0</v>
      </c>
      <c r="D38" s="5">
        <v>-18.2</v>
      </c>
      <c r="E38" s="5">
        <v>20.05</v>
      </c>
      <c r="I38" s="5">
        <v>20.0</v>
      </c>
      <c r="J38" s="5">
        <v>21.0</v>
      </c>
      <c r="K38" s="5">
        <v>195.0</v>
      </c>
      <c r="L38" s="5">
        <v>-18.2</v>
      </c>
      <c r="M38" s="5">
        <v>20.05</v>
      </c>
      <c r="O38" s="6">
        <f t="shared" ref="O38:Q38" si="34">C38-K38</f>
        <v>0</v>
      </c>
      <c r="P38" s="6">
        <f t="shared" si="34"/>
        <v>0</v>
      </c>
      <c r="Q38" s="6">
        <f t="shared" si="34"/>
        <v>0</v>
      </c>
    </row>
    <row r="39">
      <c r="A39" s="5">
        <v>21.0</v>
      </c>
      <c r="B39" s="5">
        <v>22.0</v>
      </c>
      <c r="C39" s="5">
        <v>231.0</v>
      </c>
      <c r="D39" s="5">
        <v>8.5</v>
      </c>
      <c r="E39" s="5">
        <v>20.05</v>
      </c>
      <c r="I39" s="5">
        <v>21.0</v>
      </c>
      <c r="J39" s="5">
        <v>22.0</v>
      </c>
      <c r="K39" s="5">
        <v>231.0</v>
      </c>
      <c r="L39" s="6">
        <f>+8.5</f>
        <v>8.5</v>
      </c>
      <c r="M39" s="5">
        <v>20.05</v>
      </c>
      <c r="O39" s="6">
        <f t="shared" ref="O39:Q39" si="35">C39-K39</f>
        <v>0</v>
      </c>
      <c r="P39" s="6">
        <f t="shared" si="35"/>
        <v>0</v>
      </c>
      <c r="Q39" s="6">
        <f t="shared" si="35"/>
        <v>0</v>
      </c>
    </row>
    <row r="40">
      <c r="A40" s="5">
        <v>22.0</v>
      </c>
      <c r="B40" s="5">
        <v>23.0</v>
      </c>
      <c r="C40" s="5">
        <v>238.0</v>
      </c>
      <c r="D40" s="5">
        <v>-12.5</v>
      </c>
      <c r="E40" s="5">
        <v>19.18</v>
      </c>
      <c r="I40" s="5">
        <v>22.0</v>
      </c>
      <c r="J40" s="5">
        <v>23.0</v>
      </c>
      <c r="K40" s="5">
        <v>238.0</v>
      </c>
      <c r="L40" s="5">
        <v>-12.5</v>
      </c>
      <c r="M40" s="5">
        <v>19.18</v>
      </c>
      <c r="O40" s="6">
        <f t="shared" ref="O40:Q40" si="36">C40-K40</f>
        <v>0</v>
      </c>
      <c r="P40" s="6">
        <f t="shared" si="36"/>
        <v>0</v>
      </c>
      <c r="Q40" s="6">
        <f t="shared" si="36"/>
        <v>0</v>
      </c>
    </row>
    <row r="41">
      <c r="A41" s="5">
        <v>23.0</v>
      </c>
      <c r="B41" s="5">
        <v>24.0</v>
      </c>
      <c r="C41" s="5">
        <v>222.0</v>
      </c>
      <c r="D41" s="5">
        <v>1.9</v>
      </c>
      <c r="E41" s="5">
        <v>18.89</v>
      </c>
      <c r="I41" s="5">
        <v>23.0</v>
      </c>
      <c r="J41" s="5">
        <v>24.0</v>
      </c>
      <c r="K41" s="5">
        <v>222.0</v>
      </c>
      <c r="L41" s="6">
        <f>+1.9</f>
        <v>1.9</v>
      </c>
      <c r="M41" s="5">
        <v>18.89</v>
      </c>
      <c r="O41" s="6">
        <f t="shared" ref="O41:Q41" si="37">C41-K41</f>
        <v>0</v>
      </c>
      <c r="P41" s="6">
        <f t="shared" si="37"/>
        <v>0</v>
      </c>
      <c r="Q41" s="6">
        <f t="shared" si="37"/>
        <v>0</v>
      </c>
    </row>
    <row r="42">
      <c r="A42" s="5">
        <v>24.0</v>
      </c>
      <c r="B42" s="5">
        <v>25.0</v>
      </c>
      <c r="C42" s="5">
        <v>239.0</v>
      </c>
      <c r="D42" s="5">
        <v>31.7</v>
      </c>
      <c r="E42" s="5">
        <v>6.6</v>
      </c>
      <c r="I42" s="5">
        <v>24.0</v>
      </c>
      <c r="J42" s="5">
        <v>25.0</v>
      </c>
      <c r="K42" s="5">
        <v>239.0</v>
      </c>
      <c r="L42" s="6">
        <f>+31.7</f>
        <v>31.7</v>
      </c>
      <c r="M42" s="5">
        <v>6.6</v>
      </c>
      <c r="O42" s="6">
        <f t="shared" ref="O42:Q42" si="38">C42-K42</f>
        <v>0</v>
      </c>
      <c r="P42" s="6">
        <f t="shared" si="38"/>
        <v>0</v>
      </c>
      <c r="Q42" s="6">
        <f t="shared" si="38"/>
        <v>0</v>
      </c>
    </row>
    <row r="43">
      <c r="A43" s="5">
        <v>25.0</v>
      </c>
      <c r="B43" s="5">
        <v>26.0</v>
      </c>
      <c r="C43" s="5">
        <v>219.0</v>
      </c>
      <c r="D43" s="5">
        <v>-19.6</v>
      </c>
      <c r="E43" s="5">
        <v>12.92</v>
      </c>
      <c r="I43" s="5">
        <v>25.0</v>
      </c>
      <c r="J43" s="5">
        <v>26.0</v>
      </c>
      <c r="K43" s="5">
        <v>219.0</v>
      </c>
      <c r="L43" s="5">
        <v>-19.6</v>
      </c>
      <c r="M43" s="5">
        <v>12.92</v>
      </c>
      <c r="O43" s="6">
        <f t="shared" ref="O43:Q43" si="39">C43-K43</f>
        <v>0</v>
      </c>
      <c r="P43" s="6">
        <f t="shared" si="39"/>
        <v>0</v>
      </c>
      <c r="Q43" s="6">
        <f t="shared" si="39"/>
        <v>0</v>
      </c>
    </row>
    <row r="44">
      <c r="A44" s="5">
        <v>2500.0</v>
      </c>
      <c r="B44" s="5">
        <v>2501.0</v>
      </c>
      <c r="C44" s="5">
        <v>90.0</v>
      </c>
      <c r="D44" s="5">
        <v>3.6</v>
      </c>
      <c r="E44" s="5">
        <v>12.5</v>
      </c>
      <c r="F44" s="5" t="s">
        <v>17</v>
      </c>
      <c r="I44" s="5">
        <v>2500.0</v>
      </c>
      <c r="J44" s="5">
        <v>2501.0</v>
      </c>
      <c r="K44" s="5">
        <v>90.0</v>
      </c>
      <c r="L44" s="6">
        <f>+3.6</f>
        <v>3.6</v>
      </c>
      <c r="M44" s="5">
        <v>12.5</v>
      </c>
      <c r="O44" s="6">
        <f t="shared" ref="O44:Q44" si="40">C44-K44</f>
        <v>0</v>
      </c>
      <c r="P44" s="6">
        <f t="shared" si="40"/>
        <v>0</v>
      </c>
      <c r="Q44" s="6">
        <f t="shared" si="40"/>
        <v>0</v>
      </c>
    </row>
    <row r="45">
      <c r="A45" s="5">
        <v>2501.0</v>
      </c>
      <c r="B45" s="5">
        <v>2502.0</v>
      </c>
      <c r="C45" s="5">
        <v>90.0</v>
      </c>
      <c r="D45" s="5">
        <v>0.0</v>
      </c>
      <c r="E45" s="5">
        <v>5.0</v>
      </c>
      <c r="F45" s="5" t="s">
        <v>18</v>
      </c>
      <c r="I45" s="5">
        <v>2501.0</v>
      </c>
      <c r="J45" s="5">
        <v>2502.0</v>
      </c>
      <c r="K45" s="5">
        <v>90.0</v>
      </c>
      <c r="L45" s="5">
        <v>0.0</v>
      </c>
      <c r="M45" s="5">
        <v>5.0</v>
      </c>
      <c r="O45" s="6">
        <f t="shared" ref="O45:Q45" si="41">C45-K45</f>
        <v>0</v>
      </c>
      <c r="P45" s="6">
        <f t="shared" si="41"/>
        <v>0</v>
      </c>
      <c r="Q45" s="6">
        <f t="shared" si="41"/>
        <v>0</v>
      </c>
    </row>
    <row r="46">
      <c r="A46" s="5">
        <v>2502.0</v>
      </c>
      <c r="B46" s="5">
        <v>2503.0</v>
      </c>
      <c r="C46" s="5">
        <v>0.0</v>
      </c>
      <c r="D46" s="5">
        <v>90.0</v>
      </c>
      <c r="E46" s="5">
        <v>3.0</v>
      </c>
      <c r="I46" s="5">
        <v>2502.0</v>
      </c>
      <c r="J46" s="5">
        <v>2503.0</v>
      </c>
      <c r="K46" s="5">
        <v>0.0</v>
      </c>
      <c r="L46" s="6">
        <f>+90</f>
        <v>90</v>
      </c>
      <c r="M46" s="5">
        <v>3.0</v>
      </c>
      <c r="O46" s="6">
        <f t="shared" ref="O46:Q46" si="42">C46-K46</f>
        <v>0</v>
      </c>
      <c r="P46" s="6">
        <f t="shared" si="42"/>
        <v>0</v>
      </c>
      <c r="Q46" s="6">
        <f t="shared" si="42"/>
        <v>0</v>
      </c>
    </row>
    <row r="47">
      <c r="A47" s="5">
        <v>2503.0</v>
      </c>
      <c r="B47" s="5">
        <v>2504.0</v>
      </c>
      <c r="C47" s="5">
        <v>230.0</v>
      </c>
      <c r="D47" s="5">
        <v>0.0</v>
      </c>
      <c r="E47" s="5">
        <v>7.4</v>
      </c>
      <c r="I47" s="5">
        <v>2503.0</v>
      </c>
      <c r="J47" s="5">
        <v>2504.0</v>
      </c>
      <c r="K47" s="5">
        <v>230.0</v>
      </c>
      <c r="L47" s="5">
        <v>0.0</v>
      </c>
      <c r="M47" s="5">
        <v>7.4</v>
      </c>
      <c r="O47" s="6">
        <f t="shared" ref="O47:Q47" si="43">C47-K47</f>
        <v>0</v>
      </c>
      <c r="P47" s="6">
        <f t="shared" si="43"/>
        <v>0</v>
      </c>
      <c r="Q47" s="6">
        <f t="shared" si="43"/>
        <v>0</v>
      </c>
    </row>
    <row r="48">
      <c r="A48" s="5">
        <v>2504.0</v>
      </c>
      <c r="B48" s="5">
        <v>2505.0</v>
      </c>
      <c r="C48" s="5">
        <v>203.0</v>
      </c>
      <c r="D48" s="5">
        <v>40.5</v>
      </c>
      <c r="E48" s="5">
        <v>1.4</v>
      </c>
      <c r="I48" s="5">
        <v>2504.0</v>
      </c>
      <c r="J48" s="5">
        <v>2505.0</v>
      </c>
      <c r="K48" s="5">
        <v>203.0</v>
      </c>
      <c r="L48" s="6">
        <f>+40.5</f>
        <v>40.5</v>
      </c>
      <c r="M48" s="5">
        <v>1.4</v>
      </c>
      <c r="O48" s="6">
        <f t="shared" ref="O48:Q48" si="44">C48-K48</f>
        <v>0</v>
      </c>
      <c r="P48" s="6">
        <f t="shared" si="44"/>
        <v>0</v>
      </c>
      <c r="Q48" s="6">
        <f t="shared" si="44"/>
        <v>0</v>
      </c>
    </row>
    <row r="49">
      <c r="A49" s="5">
        <v>2505.0</v>
      </c>
      <c r="B49" s="5">
        <v>2506.0</v>
      </c>
      <c r="C49" s="5">
        <v>245.0</v>
      </c>
      <c r="D49" s="5">
        <v>3.6</v>
      </c>
      <c r="E49" s="5">
        <v>5.8</v>
      </c>
      <c r="I49" s="5">
        <v>2505.0</v>
      </c>
      <c r="J49" s="5">
        <v>2506.0</v>
      </c>
      <c r="K49" s="5">
        <v>245.0</v>
      </c>
      <c r="L49" s="6">
        <f>+3.6</f>
        <v>3.6</v>
      </c>
      <c r="M49" s="5">
        <v>5.8</v>
      </c>
      <c r="O49" s="6">
        <f t="shared" ref="O49:Q49" si="45">C49-K49</f>
        <v>0</v>
      </c>
      <c r="P49" s="6">
        <f t="shared" si="45"/>
        <v>0</v>
      </c>
      <c r="Q49" s="6">
        <f t="shared" si="45"/>
        <v>0</v>
      </c>
    </row>
    <row r="50">
      <c r="A50" s="5">
        <v>2506.0</v>
      </c>
      <c r="B50" s="5">
        <v>2507.0</v>
      </c>
      <c r="C50" s="5">
        <v>191.0</v>
      </c>
      <c r="D50" s="5">
        <v>0.0</v>
      </c>
      <c r="E50" s="5">
        <v>2.3</v>
      </c>
      <c r="I50" s="5">
        <v>2506.0</v>
      </c>
      <c r="J50" s="5">
        <v>2507.0</v>
      </c>
      <c r="K50" s="5">
        <v>191.0</v>
      </c>
      <c r="L50" s="5">
        <v>0.0</v>
      </c>
      <c r="M50" s="5">
        <v>2.3</v>
      </c>
      <c r="O50" s="6">
        <f t="shared" ref="O50:Q50" si="46">C50-K50</f>
        <v>0</v>
      </c>
      <c r="P50" s="6">
        <f t="shared" si="46"/>
        <v>0</v>
      </c>
      <c r="Q50" s="6">
        <f t="shared" si="46"/>
        <v>0</v>
      </c>
    </row>
    <row r="51">
      <c r="A51" s="5">
        <v>65.0</v>
      </c>
      <c r="B51" s="5">
        <v>6501.0</v>
      </c>
      <c r="C51" s="5">
        <v>56.7</v>
      </c>
      <c r="D51" s="5">
        <v>-2.7</v>
      </c>
      <c r="E51" s="5">
        <v>14.6</v>
      </c>
      <c r="F51" s="5" t="s">
        <v>19</v>
      </c>
      <c r="I51" s="5">
        <v>65.0</v>
      </c>
      <c r="J51" s="5">
        <v>6501.0</v>
      </c>
      <c r="K51" s="5">
        <v>56.7</v>
      </c>
      <c r="L51" s="5">
        <v>-2.7</v>
      </c>
      <c r="M51" s="5">
        <v>14.6</v>
      </c>
      <c r="O51" s="6">
        <f t="shared" ref="O51:Q51" si="47">C51-K51</f>
        <v>0</v>
      </c>
      <c r="P51" s="6">
        <f t="shared" si="47"/>
        <v>0</v>
      </c>
      <c r="Q51" s="6">
        <f t="shared" si="47"/>
        <v>0</v>
      </c>
    </row>
    <row r="52">
      <c r="A52" s="5">
        <v>6501.0</v>
      </c>
      <c r="B52" s="5">
        <v>6502.0</v>
      </c>
      <c r="C52" s="5">
        <v>56.7</v>
      </c>
      <c r="D52" s="5">
        <v>29.7</v>
      </c>
      <c r="E52" s="5">
        <v>11.9</v>
      </c>
      <c r="F52" s="5" t="s">
        <v>20</v>
      </c>
      <c r="I52" s="5">
        <v>6501.0</v>
      </c>
      <c r="J52" s="5">
        <v>6502.0</v>
      </c>
      <c r="K52" s="5">
        <v>56.7</v>
      </c>
      <c r="L52" s="6">
        <f>+29.7</f>
        <v>29.7</v>
      </c>
      <c r="M52" s="5">
        <v>11.9</v>
      </c>
      <c r="O52" s="6">
        <f t="shared" ref="O52:Q52" si="48">C52-K52</f>
        <v>0</v>
      </c>
      <c r="P52" s="6">
        <f t="shared" si="48"/>
        <v>0</v>
      </c>
      <c r="Q52" s="6">
        <f t="shared" si="48"/>
        <v>0</v>
      </c>
    </row>
    <row r="53">
      <c r="A53" s="5">
        <v>6502.0</v>
      </c>
      <c r="B53" s="5">
        <v>6503.0</v>
      </c>
      <c r="C53" s="5">
        <v>53.1</v>
      </c>
      <c r="D53" s="5">
        <v>26.1</v>
      </c>
      <c r="E53" s="5">
        <v>5.4</v>
      </c>
      <c r="F53" s="5" t="s">
        <v>21</v>
      </c>
      <c r="I53" s="5">
        <v>6502.0</v>
      </c>
      <c r="J53" s="5">
        <v>6503.0</v>
      </c>
      <c r="K53" s="5">
        <v>53.1</v>
      </c>
      <c r="L53" s="6">
        <f>+26.1</f>
        <v>26.1</v>
      </c>
      <c r="M53" s="5">
        <v>5.4</v>
      </c>
      <c r="O53" s="6">
        <f t="shared" ref="O53:Q53" si="49">C53-K53</f>
        <v>0</v>
      </c>
      <c r="P53" s="6">
        <f t="shared" si="49"/>
        <v>0</v>
      </c>
      <c r="Q53" s="6">
        <f t="shared" si="49"/>
        <v>0</v>
      </c>
    </row>
    <row r="54">
      <c r="A54" s="5">
        <v>6503.0</v>
      </c>
      <c r="B54" s="5">
        <v>6504.0</v>
      </c>
      <c r="C54" s="5">
        <v>158.4</v>
      </c>
      <c r="D54" s="5">
        <v>50.4</v>
      </c>
      <c r="E54" s="5">
        <v>8.05</v>
      </c>
      <c r="F54" s="5" t="s">
        <v>22</v>
      </c>
      <c r="I54" s="5">
        <v>6503.0</v>
      </c>
      <c r="J54" s="5">
        <v>6504.0</v>
      </c>
      <c r="K54" s="5">
        <v>158.4</v>
      </c>
      <c r="L54" s="6">
        <f>+50.4</f>
        <v>50.4</v>
      </c>
      <c r="M54" s="5">
        <v>8.05</v>
      </c>
      <c r="O54" s="6">
        <f t="shared" ref="O54:Q54" si="50">C54-K54</f>
        <v>0</v>
      </c>
      <c r="P54" s="6">
        <f t="shared" si="50"/>
        <v>0</v>
      </c>
      <c r="Q54" s="6">
        <f t="shared" si="50"/>
        <v>0</v>
      </c>
    </row>
    <row r="55">
      <c r="A55" s="5">
        <v>6504.0</v>
      </c>
      <c r="B55" s="5">
        <v>6505.0</v>
      </c>
      <c r="C55" s="5">
        <v>204.3</v>
      </c>
      <c r="D55" s="5">
        <v>26.1</v>
      </c>
      <c r="E55" s="5">
        <v>12.02</v>
      </c>
      <c r="F55" s="5" t="s">
        <v>23</v>
      </c>
      <c r="I55" s="5">
        <v>6504.0</v>
      </c>
      <c r="J55" s="5">
        <v>6505.0</v>
      </c>
      <c r="K55" s="5">
        <v>204.3</v>
      </c>
      <c r="L55" s="6">
        <f>+26.1</f>
        <v>26.1</v>
      </c>
      <c r="M55" s="5">
        <v>12.02</v>
      </c>
      <c r="O55" s="6">
        <f t="shared" ref="O55:Q55" si="51">C55-K55</f>
        <v>0</v>
      </c>
      <c r="P55" s="6">
        <f t="shared" si="51"/>
        <v>0</v>
      </c>
      <c r="Q55" s="6">
        <f t="shared" si="51"/>
        <v>0</v>
      </c>
    </row>
    <row r="56">
      <c r="A56" s="5">
        <v>6505.0</v>
      </c>
      <c r="B56" s="5">
        <v>6506.0</v>
      </c>
      <c r="C56" s="5">
        <v>225.0</v>
      </c>
      <c r="D56" s="5">
        <v>-13.5</v>
      </c>
      <c r="E56" s="5">
        <v>9.55</v>
      </c>
      <c r="F56" s="5" t="s">
        <v>24</v>
      </c>
      <c r="I56" s="5">
        <v>6505.0</v>
      </c>
      <c r="J56" s="5">
        <v>6506.0</v>
      </c>
      <c r="K56" s="5">
        <v>225.0</v>
      </c>
      <c r="L56" s="5">
        <v>-13.5</v>
      </c>
      <c r="M56" s="5">
        <v>9.55</v>
      </c>
      <c r="O56" s="6">
        <f t="shared" ref="O56:Q56" si="52">C56-K56</f>
        <v>0</v>
      </c>
      <c r="P56" s="6">
        <f t="shared" si="52"/>
        <v>0</v>
      </c>
      <c r="Q56" s="6">
        <f t="shared" si="52"/>
        <v>0</v>
      </c>
    </row>
    <row r="57">
      <c r="A57" s="5">
        <v>6506.0</v>
      </c>
      <c r="B57" s="5">
        <v>6507.0</v>
      </c>
      <c r="C57" s="5">
        <v>233.1</v>
      </c>
      <c r="D57" s="5">
        <v>-36.9</v>
      </c>
      <c r="E57" s="5">
        <v>6.2</v>
      </c>
      <c r="I57" s="5">
        <v>6506.0</v>
      </c>
      <c r="J57" s="5">
        <v>6507.0</v>
      </c>
      <c r="K57" s="5">
        <v>233.1</v>
      </c>
      <c r="L57" s="5">
        <v>-36.9</v>
      </c>
      <c r="M57" s="5">
        <v>6.2</v>
      </c>
      <c r="O57" s="6">
        <f t="shared" ref="O57:Q57" si="53">C57-K57</f>
        <v>0</v>
      </c>
      <c r="P57" s="6">
        <f t="shared" si="53"/>
        <v>0</v>
      </c>
      <c r="Q57" s="6">
        <f t="shared" si="53"/>
        <v>0</v>
      </c>
    </row>
    <row r="58">
      <c r="A58" s="5">
        <v>6507.0</v>
      </c>
      <c r="B58" s="5">
        <v>6508.0</v>
      </c>
      <c r="C58" s="5">
        <v>240.3</v>
      </c>
      <c r="D58" s="5">
        <v>17.1</v>
      </c>
      <c r="E58" s="5">
        <v>6.45</v>
      </c>
      <c r="I58" s="5">
        <v>6507.0</v>
      </c>
      <c r="J58" s="5">
        <v>6508.0</v>
      </c>
      <c r="K58" s="5">
        <v>240.3</v>
      </c>
      <c r="L58" s="6">
        <f>+17.1</f>
        <v>17.1</v>
      </c>
      <c r="M58" s="5">
        <v>6.45</v>
      </c>
      <c r="O58" s="6">
        <f t="shared" ref="O58:Q58" si="54">C58-K58</f>
        <v>0</v>
      </c>
      <c r="P58" s="6">
        <f t="shared" si="54"/>
        <v>0</v>
      </c>
      <c r="Q58" s="6">
        <f t="shared" si="54"/>
        <v>0</v>
      </c>
    </row>
    <row r="59">
      <c r="A59" s="5">
        <v>6508.0</v>
      </c>
      <c r="B59" s="5">
        <v>6509.0</v>
      </c>
      <c r="C59" s="5">
        <v>213.3</v>
      </c>
      <c r="D59" s="5">
        <v>8.1</v>
      </c>
      <c r="E59" s="5">
        <v>12.2</v>
      </c>
      <c r="I59" s="5">
        <v>6508.0</v>
      </c>
      <c r="J59" s="5">
        <v>6509.0</v>
      </c>
      <c r="K59" s="5">
        <v>243.3</v>
      </c>
      <c r="L59" s="6">
        <f>+8.1</f>
        <v>8.1</v>
      </c>
      <c r="M59" s="5">
        <v>12.2</v>
      </c>
      <c r="O59" s="6">
        <f t="shared" ref="O59:Q59" si="55">C59-K59</f>
        <v>-30</v>
      </c>
      <c r="P59" s="6">
        <f t="shared" si="55"/>
        <v>0</v>
      </c>
      <c r="Q59" s="6">
        <f t="shared" si="55"/>
        <v>0</v>
      </c>
    </row>
    <row r="63">
      <c r="A63" s="7" t="s">
        <v>25</v>
      </c>
    </row>
    <row r="64">
      <c r="A64" s="8"/>
    </row>
    <row r="65">
      <c r="A65" s="7" t="s">
        <v>26</v>
      </c>
    </row>
    <row r="66">
      <c r="A66" s="8"/>
    </row>
    <row r="67">
      <c r="A67" s="7" t="s">
        <v>27</v>
      </c>
    </row>
    <row r="68">
      <c r="A68" s="7" t="s">
        <v>28</v>
      </c>
    </row>
    <row r="69">
      <c r="A69" s="9" t="s">
        <v>29</v>
      </c>
    </row>
    <row r="70">
      <c r="A70" s="8"/>
    </row>
    <row r="71">
      <c r="A71" s="7" t="s">
        <v>30</v>
      </c>
    </row>
    <row r="72">
      <c r="A72" s="9" t="s">
        <v>31</v>
      </c>
    </row>
    <row r="73">
      <c r="A73" s="8"/>
    </row>
  </sheetData>
  <mergeCells count="3">
    <mergeCell ref="A1:F1"/>
    <mergeCell ref="I3:M3"/>
    <mergeCell ref="O3:Q3"/>
  </mergeCells>
  <conditionalFormatting sqref="O5:Q59">
    <cfRule type="cellIs" dxfId="0" priority="1" operator="notEqual">
      <formula>0</formula>
    </cfRule>
  </conditionalFormatting>
  <drawing r:id="rId1"/>
</worksheet>
</file>